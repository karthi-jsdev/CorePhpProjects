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9560" windowHeight="8340" firstSheet="6" activeTab="11"/>
  </bookViews>
  <sheets>
    <sheet name="TL 5.4 VER" sheetId="1" r:id="rId1"/>
    <sheet name="TL 5.8 VER" sheetId="2" r:id="rId2"/>
    <sheet name="TL 5.13 VER" sheetId="3" r:id="rId3"/>
    <sheet name="1-5W300mA" sheetId="8" r:id="rId4"/>
    <sheet name="1-5W350mA" sheetId="7" r:id="rId5"/>
    <sheet name="5-9W350mA" sheetId="6" r:id="rId6"/>
    <sheet name="10-17W300mA" sheetId="10" r:id="rId7"/>
    <sheet name="10-15W350mA" sheetId="11" r:id="rId8"/>
    <sheet name="10-15W450mA" sheetId="5" r:id="rId9"/>
    <sheet name="15-20W300mA" sheetId="4" r:id="rId10"/>
    <sheet name="15-20W350mA" sheetId="12" r:id="rId11"/>
    <sheet name="Detail-Planner" sheetId="15" r:id="rId12"/>
    <sheet name="Planner" sheetId="13" r:id="rId13"/>
    <sheet name="Sheet1" sheetId="14" r:id="rId14"/>
  </sheets>
  <calcPr calcId="124519"/>
</workbook>
</file>

<file path=xl/calcChain.xml><?xml version="1.0" encoding="utf-8"?>
<calcChain xmlns="http://schemas.openxmlformats.org/spreadsheetml/2006/main">
  <c r="I15" i="15"/>
  <c r="M14"/>
  <c r="L14"/>
  <c r="K14"/>
  <c r="J14"/>
  <c r="I14"/>
  <c r="H14"/>
  <c r="I13"/>
  <c r="I12"/>
  <c r="I11"/>
  <c r="I10"/>
  <c r="I9"/>
  <c r="I8"/>
  <c r="K7"/>
  <c r="J7"/>
  <c r="I7"/>
  <c r="J6"/>
  <c r="I6"/>
  <c r="J5"/>
  <c r="I5"/>
  <c r="I17" s="1"/>
  <c r="L1" i="12"/>
  <c r="Z42" s="1"/>
  <c r="M42" s="1"/>
  <c r="N42" s="1"/>
  <c r="O42" s="1"/>
  <c r="J54" i="4"/>
  <c r="J53"/>
  <c r="J52"/>
  <c r="J51"/>
  <c r="J50"/>
  <c r="J48"/>
  <c r="H53"/>
  <c r="H52"/>
  <c r="H51"/>
  <c r="H50"/>
  <c r="H48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M1"/>
  <c r="Z43" s="1"/>
  <c r="M43" s="1"/>
  <c r="N43" s="1"/>
  <c r="H52" i="11"/>
  <c r="H51"/>
  <c r="H50"/>
  <c r="H49"/>
  <c r="H47"/>
  <c r="N1"/>
  <c r="AD43" s="1"/>
  <c r="M43" s="1"/>
  <c r="N43" s="1"/>
  <c r="H53" i="10"/>
  <c r="H52"/>
  <c r="H51"/>
  <c r="H50"/>
  <c r="H48"/>
  <c r="O1"/>
  <c r="AE43" s="1"/>
  <c r="M43" s="1"/>
  <c r="N43" s="1"/>
  <c r="O43" s="1"/>
  <c r="H53" i="6"/>
  <c r="H52"/>
  <c r="H51"/>
  <c r="H50"/>
  <c r="H48"/>
  <c r="Q1"/>
  <c r="AB43" s="1"/>
  <c r="M43" s="1"/>
  <c r="N43" s="1"/>
  <c r="O43" s="1"/>
  <c r="O40" i="3"/>
  <c r="D28" i="7"/>
  <c r="L1"/>
  <c r="Z23" s="1"/>
  <c r="K23" s="1"/>
  <c r="L23" s="1"/>
  <c r="M23" s="1"/>
  <c r="D26" i="8"/>
  <c r="L1"/>
  <c r="Z18" s="1"/>
  <c r="K18" s="1"/>
  <c r="L18" s="1"/>
  <c r="M18" s="1"/>
  <c r="G28" s="1"/>
  <c r="J8" i="15" s="1"/>
  <c r="Z6" i="8" l="1"/>
  <c r="K6" s="1"/>
  <c r="L6" s="1"/>
  <c r="M6" s="1"/>
  <c r="Z10"/>
  <c r="K10" s="1"/>
  <c r="L10" s="1"/>
  <c r="M10" s="1"/>
  <c r="Z14"/>
  <c r="K14" s="1"/>
  <c r="L14" s="1"/>
  <c r="M14" s="1"/>
  <c r="Z20"/>
  <c r="K20" s="1"/>
  <c r="L20" s="1"/>
  <c r="M20" s="1"/>
  <c r="Z22"/>
  <c r="K22" s="1"/>
  <c r="L22" s="1"/>
  <c r="M22" s="1"/>
  <c r="Z5"/>
  <c r="K5" s="1"/>
  <c r="L5" s="1"/>
  <c r="M5" s="1"/>
  <c r="Z7"/>
  <c r="K7" s="1"/>
  <c r="L7" s="1"/>
  <c r="M7" s="1"/>
  <c r="Z9"/>
  <c r="K9" s="1"/>
  <c r="L9" s="1"/>
  <c r="M9" s="1"/>
  <c r="Z11"/>
  <c r="K11" s="1"/>
  <c r="L11" s="1"/>
  <c r="M11" s="1"/>
  <c r="Z13"/>
  <c r="K13" s="1"/>
  <c r="L13" s="1"/>
  <c r="M13" s="1"/>
  <c r="G31" s="1"/>
  <c r="M8" i="15" s="1"/>
  <c r="Z15" i="8"/>
  <c r="K15" s="1"/>
  <c r="L15" s="1"/>
  <c r="M15" s="1"/>
  <c r="Z17"/>
  <c r="K17" s="1"/>
  <c r="L17" s="1"/>
  <c r="M17" s="1"/>
  <c r="Z19"/>
  <c r="K19" s="1"/>
  <c r="L19" s="1"/>
  <c r="M19" s="1"/>
  <c r="Z21"/>
  <c r="K21" s="1"/>
  <c r="L21" s="1"/>
  <c r="M21" s="1"/>
  <c r="Z23"/>
  <c r="K23" s="1"/>
  <c r="L23" s="1"/>
  <c r="M23" s="1"/>
  <c r="AB7" i="6"/>
  <c r="M7" s="1"/>
  <c r="N7" s="1"/>
  <c r="O7" s="1"/>
  <c r="AB9"/>
  <c r="M9" s="1"/>
  <c r="N9" s="1"/>
  <c r="O9" s="1"/>
  <c r="AB11"/>
  <c r="M11" s="1"/>
  <c r="N11" s="1"/>
  <c r="O11" s="1"/>
  <c r="AB13"/>
  <c r="M13" s="1"/>
  <c r="N13" s="1"/>
  <c r="O13" s="1"/>
  <c r="AB15"/>
  <c r="M15" s="1"/>
  <c r="N15" s="1"/>
  <c r="O15" s="1"/>
  <c r="AB17"/>
  <c r="M17" s="1"/>
  <c r="N17" s="1"/>
  <c r="O17" s="1"/>
  <c r="AB19"/>
  <c r="M19" s="1"/>
  <c r="N19" s="1"/>
  <c r="O19" s="1"/>
  <c r="AB21"/>
  <c r="M21" s="1"/>
  <c r="N21" s="1"/>
  <c r="O21" s="1"/>
  <c r="AB23"/>
  <c r="M23" s="1"/>
  <c r="N23" s="1"/>
  <c r="O23" s="1"/>
  <c r="AB25"/>
  <c r="M25" s="1"/>
  <c r="N25" s="1"/>
  <c r="O25" s="1"/>
  <c r="AB28"/>
  <c r="M28" s="1"/>
  <c r="N28" s="1"/>
  <c r="O28" s="1"/>
  <c r="AB30"/>
  <c r="M30" s="1"/>
  <c r="N30" s="1"/>
  <c r="O30" s="1"/>
  <c r="AB32"/>
  <c r="M32" s="1"/>
  <c r="N32" s="1"/>
  <c r="O32" s="1"/>
  <c r="AB34"/>
  <c r="M34" s="1"/>
  <c r="N34" s="1"/>
  <c r="O34" s="1"/>
  <c r="AB36"/>
  <c r="M36" s="1"/>
  <c r="N36" s="1"/>
  <c r="O36" s="1"/>
  <c r="AB38"/>
  <c r="M38" s="1"/>
  <c r="N38" s="1"/>
  <c r="O38" s="1"/>
  <c r="J50" s="1"/>
  <c r="J10" i="15" s="1"/>
  <c r="AB40" i="6"/>
  <c r="M40" s="1"/>
  <c r="N40" s="1"/>
  <c r="O40" s="1"/>
  <c r="AB42"/>
  <c r="M42" s="1"/>
  <c r="N42" s="1"/>
  <c r="O42" s="1"/>
  <c r="Z7" i="12"/>
  <c r="M7" s="1"/>
  <c r="N7" s="1"/>
  <c r="O7" s="1"/>
  <c r="Z9"/>
  <c r="M9" s="1"/>
  <c r="N9" s="1"/>
  <c r="O9" s="1"/>
  <c r="Z11"/>
  <c r="M11" s="1"/>
  <c r="N11" s="1"/>
  <c r="O11" s="1"/>
  <c r="Z13"/>
  <c r="M13" s="1"/>
  <c r="N13" s="1"/>
  <c r="O13" s="1"/>
  <c r="Z15"/>
  <c r="M15" s="1"/>
  <c r="N15" s="1"/>
  <c r="O15" s="1"/>
  <c r="Z17"/>
  <c r="M17" s="1"/>
  <c r="N17" s="1"/>
  <c r="O17" s="1"/>
  <c r="Z19"/>
  <c r="M19" s="1"/>
  <c r="N19" s="1"/>
  <c r="O19" s="1"/>
  <c r="Z21"/>
  <c r="M21" s="1"/>
  <c r="N21" s="1"/>
  <c r="O21" s="1"/>
  <c r="Z23"/>
  <c r="M23" s="1"/>
  <c r="N23" s="1"/>
  <c r="O23" s="1"/>
  <c r="Z25"/>
  <c r="M25" s="1"/>
  <c r="N25" s="1"/>
  <c r="O25" s="1"/>
  <c r="Z27"/>
  <c r="M27" s="1"/>
  <c r="N27" s="1"/>
  <c r="O27" s="1"/>
  <c r="Z29"/>
  <c r="M29" s="1"/>
  <c r="N29" s="1"/>
  <c r="O29" s="1"/>
  <c r="Z31"/>
  <c r="M31" s="1"/>
  <c r="N31" s="1"/>
  <c r="O31" s="1"/>
  <c r="Z33"/>
  <c r="M33" s="1"/>
  <c r="N33" s="1"/>
  <c r="O33" s="1"/>
  <c r="K52" s="1"/>
  <c r="M15" i="15" s="1"/>
  <c r="Z35" i="12"/>
  <c r="M35" s="1"/>
  <c r="N35" s="1"/>
  <c r="O35" s="1"/>
  <c r="Z37"/>
  <c r="M37" s="1"/>
  <c r="N37" s="1"/>
  <c r="O37" s="1"/>
  <c r="Z39"/>
  <c r="M39" s="1"/>
  <c r="N39" s="1"/>
  <c r="O39" s="1"/>
  <c r="Z41"/>
  <c r="M41" s="1"/>
  <c r="N41" s="1"/>
  <c r="O41" s="1"/>
  <c r="Z43"/>
  <c r="M43" s="1"/>
  <c r="N43" s="1"/>
  <c r="O43" s="1"/>
  <c r="Z8" i="8"/>
  <c r="K8" s="1"/>
  <c r="L8" s="1"/>
  <c r="M8" s="1"/>
  <c r="Z12"/>
  <c r="K12" s="1"/>
  <c r="L12" s="1"/>
  <c r="M12" s="1"/>
  <c r="Z16"/>
  <c r="K16" s="1"/>
  <c r="L16" s="1"/>
  <c r="M16" s="1"/>
  <c r="AB6" i="6"/>
  <c r="M6" s="1"/>
  <c r="N6" s="1"/>
  <c r="O6" s="1"/>
  <c r="AB8"/>
  <c r="M8" s="1"/>
  <c r="N8" s="1"/>
  <c r="O8" s="1"/>
  <c r="AB10"/>
  <c r="M10" s="1"/>
  <c r="N10" s="1"/>
  <c r="O10" s="1"/>
  <c r="AB12"/>
  <c r="M12" s="1"/>
  <c r="N12" s="1"/>
  <c r="O12" s="1"/>
  <c r="AB14"/>
  <c r="M14" s="1"/>
  <c r="N14" s="1"/>
  <c r="O14" s="1"/>
  <c r="AB16"/>
  <c r="M16" s="1"/>
  <c r="N16" s="1"/>
  <c r="O16" s="1"/>
  <c r="AB18"/>
  <c r="M18" s="1"/>
  <c r="N18" s="1"/>
  <c r="O18" s="1"/>
  <c r="AB20"/>
  <c r="M20" s="1"/>
  <c r="N20" s="1"/>
  <c r="O20" s="1"/>
  <c r="AB22"/>
  <c r="M22" s="1"/>
  <c r="N22" s="1"/>
  <c r="O22" s="1"/>
  <c r="AB24"/>
  <c r="M24" s="1"/>
  <c r="N24" s="1"/>
  <c r="O24" s="1"/>
  <c r="AB26"/>
  <c r="AB29"/>
  <c r="M29" s="1"/>
  <c r="N29" s="1"/>
  <c r="O29" s="1"/>
  <c r="AB31"/>
  <c r="M31" s="1"/>
  <c r="N31" s="1"/>
  <c r="O31" s="1"/>
  <c r="AB33"/>
  <c r="M33" s="1"/>
  <c r="N33" s="1"/>
  <c r="O33" s="1"/>
  <c r="J53" s="1"/>
  <c r="M10" i="15" s="1"/>
  <c r="AB35" i="6"/>
  <c r="M35" s="1"/>
  <c r="N35" s="1"/>
  <c r="O35" s="1"/>
  <c r="AB37"/>
  <c r="M37" s="1"/>
  <c r="N37" s="1"/>
  <c r="O37" s="1"/>
  <c r="AB39"/>
  <c r="M39" s="1"/>
  <c r="N39" s="1"/>
  <c r="O39" s="1"/>
  <c r="AB41"/>
  <c r="M41" s="1"/>
  <c r="N41" s="1"/>
  <c r="O41" s="1"/>
  <c r="Z6" i="12"/>
  <c r="M6" s="1"/>
  <c r="N6" s="1"/>
  <c r="O6" s="1"/>
  <c r="Z8"/>
  <c r="M8" s="1"/>
  <c r="N8" s="1"/>
  <c r="O8" s="1"/>
  <c r="Z10"/>
  <c r="M10" s="1"/>
  <c r="N10" s="1"/>
  <c r="O10" s="1"/>
  <c r="Z12"/>
  <c r="M12" s="1"/>
  <c r="N12" s="1"/>
  <c r="O12" s="1"/>
  <c r="Z14"/>
  <c r="M14" s="1"/>
  <c r="N14" s="1"/>
  <c r="O14" s="1"/>
  <c r="Z16"/>
  <c r="M16" s="1"/>
  <c r="N16" s="1"/>
  <c r="O16" s="1"/>
  <c r="Z18"/>
  <c r="M18" s="1"/>
  <c r="N18" s="1"/>
  <c r="O18" s="1"/>
  <c r="Z20"/>
  <c r="M20" s="1"/>
  <c r="N20" s="1"/>
  <c r="O20" s="1"/>
  <c r="Z22"/>
  <c r="M22" s="1"/>
  <c r="N22" s="1"/>
  <c r="O22" s="1"/>
  <c r="Z24"/>
  <c r="M24" s="1"/>
  <c r="N24" s="1"/>
  <c r="O24" s="1"/>
  <c r="Z26"/>
  <c r="M26" s="1"/>
  <c r="N26" s="1"/>
  <c r="O26" s="1"/>
  <c r="Z28"/>
  <c r="M28" s="1"/>
  <c r="N28" s="1"/>
  <c r="O28" s="1"/>
  <c r="Z30"/>
  <c r="M30" s="1"/>
  <c r="N30" s="1"/>
  <c r="O30" s="1"/>
  <c r="Z32"/>
  <c r="M32" s="1"/>
  <c r="N32" s="1"/>
  <c r="O32" s="1"/>
  <c r="Z34"/>
  <c r="M34" s="1"/>
  <c r="N34" s="1"/>
  <c r="O34" s="1"/>
  <c r="Z36"/>
  <c r="M36" s="1"/>
  <c r="N36" s="1"/>
  <c r="O36" s="1"/>
  <c r="Z38"/>
  <c r="M38" s="1"/>
  <c r="N38" s="1"/>
  <c r="O38" s="1"/>
  <c r="K49" s="1"/>
  <c r="J15" i="15" s="1"/>
  <c r="Z40" i="12"/>
  <c r="M40" s="1"/>
  <c r="N40" s="1"/>
  <c r="O40" s="1"/>
  <c r="K50" s="1"/>
  <c r="K15" i="15" s="1"/>
  <c r="Z6" i="4"/>
  <c r="M6" s="1"/>
  <c r="N6" s="1"/>
  <c r="Z10"/>
  <c r="M10" s="1"/>
  <c r="N10" s="1"/>
  <c r="Z14"/>
  <c r="M14" s="1"/>
  <c r="N14" s="1"/>
  <c r="Z18"/>
  <c r="M18" s="1"/>
  <c r="N18" s="1"/>
  <c r="Z22"/>
  <c r="M22" s="1"/>
  <c r="N22" s="1"/>
  <c r="Z26"/>
  <c r="M26" s="1"/>
  <c r="N26" s="1"/>
  <c r="Z30"/>
  <c r="M30" s="1"/>
  <c r="N30" s="1"/>
  <c r="Z34"/>
  <c r="M34" s="1"/>
  <c r="N34" s="1"/>
  <c r="Z38"/>
  <c r="M38" s="1"/>
  <c r="N38" s="1"/>
  <c r="F50" s="1"/>
  <c r="Z42"/>
  <c r="M42" s="1"/>
  <c r="N42" s="1"/>
  <c r="Z8"/>
  <c r="M8" s="1"/>
  <c r="N8" s="1"/>
  <c r="Z12"/>
  <c r="M12" s="1"/>
  <c r="N12" s="1"/>
  <c r="Z16"/>
  <c r="M16" s="1"/>
  <c r="N16" s="1"/>
  <c r="Z20"/>
  <c r="M20" s="1"/>
  <c r="N20" s="1"/>
  <c r="Z24"/>
  <c r="M24" s="1"/>
  <c r="N24" s="1"/>
  <c r="Z28"/>
  <c r="M28" s="1"/>
  <c r="N28" s="1"/>
  <c r="Z32"/>
  <c r="M32" s="1"/>
  <c r="N32" s="1"/>
  <c r="Z36"/>
  <c r="M36" s="1"/>
  <c r="N36" s="1"/>
  <c r="Z40"/>
  <c r="M40" s="1"/>
  <c r="N40" s="1"/>
  <c r="Z7"/>
  <c r="M7" s="1"/>
  <c r="N7" s="1"/>
  <c r="Z9"/>
  <c r="M9" s="1"/>
  <c r="N9" s="1"/>
  <c r="Z11"/>
  <c r="M11" s="1"/>
  <c r="N11" s="1"/>
  <c r="Z13"/>
  <c r="M13" s="1"/>
  <c r="N13" s="1"/>
  <c r="Z15"/>
  <c r="M15" s="1"/>
  <c r="N15" s="1"/>
  <c r="Z17"/>
  <c r="M17" s="1"/>
  <c r="N17" s="1"/>
  <c r="Z19"/>
  <c r="M19" s="1"/>
  <c r="N19" s="1"/>
  <c r="Z21"/>
  <c r="M21" s="1"/>
  <c r="N21" s="1"/>
  <c r="Z23"/>
  <c r="M23" s="1"/>
  <c r="N23" s="1"/>
  <c r="Z25"/>
  <c r="M25" s="1"/>
  <c r="N25" s="1"/>
  <c r="Z27"/>
  <c r="M27" s="1"/>
  <c r="N27" s="1"/>
  <c r="Z29"/>
  <c r="M29" s="1"/>
  <c r="N29" s="1"/>
  <c r="Z31"/>
  <c r="M31" s="1"/>
  <c r="N31" s="1"/>
  <c r="Z33"/>
  <c r="M33" s="1"/>
  <c r="N33" s="1"/>
  <c r="F53" s="1"/>
  <c r="Z35"/>
  <c r="M35" s="1"/>
  <c r="N35" s="1"/>
  <c r="Z37"/>
  <c r="M37" s="1"/>
  <c r="N37" s="1"/>
  <c r="Z39"/>
  <c r="M39" s="1"/>
  <c r="N39" s="1"/>
  <c r="F51" s="1"/>
  <c r="Z41"/>
  <c r="M41" s="1"/>
  <c r="N41" s="1"/>
  <c r="F48" s="1"/>
  <c r="O43" i="11"/>
  <c r="AD6"/>
  <c r="M6" s="1"/>
  <c r="N6" s="1"/>
  <c r="O6" s="1"/>
  <c r="AD8"/>
  <c r="M8" s="1"/>
  <c r="N8" s="1"/>
  <c r="O8" s="1"/>
  <c r="AD10"/>
  <c r="M10" s="1"/>
  <c r="N10" s="1"/>
  <c r="O10" s="1"/>
  <c r="AD12"/>
  <c r="M12" s="1"/>
  <c r="N12" s="1"/>
  <c r="O12" s="1"/>
  <c r="AD14"/>
  <c r="M14" s="1"/>
  <c r="N14" s="1"/>
  <c r="O14" s="1"/>
  <c r="AD16"/>
  <c r="M16" s="1"/>
  <c r="N16" s="1"/>
  <c r="O16" s="1"/>
  <c r="AD18"/>
  <c r="M18" s="1"/>
  <c r="N18" s="1"/>
  <c r="O18" s="1"/>
  <c r="AD20"/>
  <c r="M20" s="1"/>
  <c r="N20" s="1"/>
  <c r="O20" s="1"/>
  <c r="AD22"/>
  <c r="M22" s="1"/>
  <c r="N22" s="1"/>
  <c r="O22" s="1"/>
  <c r="AD24"/>
  <c r="M24" s="1"/>
  <c r="N24" s="1"/>
  <c r="O24" s="1"/>
  <c r="AD26"/>
  <c r="M26" s="1"/>
  <c r="N26" s="1"/>
  <c r="O26" s="1"/>
  <c r="AD28"/>
  <c r="M28" s="1"/>
  <c r="N28" s="1"/>
  <c r="O28" s="1"/>
  <c r="AD30"/>
  <c r="M30" s="1"/>
  <c r="N30" s="1"/>
  <c r="O30" s="1"/>
  <c r="AD32"/>
  <c r="M32" s="1"/>
  <c r="N32" s="1"/>
  <c r="O32" s="1"/>
  <c r="AD34"/>
  <c r="M34" s="1"/>
  <c r="N34" s="1"/>
  <c r="O34" s="1"/>
  <c r="AD36"/>
  <c r="M36" s="1"/>
  <c r="N36" s="1"/>
  <c r="O36" s="1"/>
  <c r="AD38"/>
  <c r="M38" s="1"/>
  <c r="N38" s="1"/>
  <c r="AD40"/>
  <c r="M40" s="1"/>
  <c r="N40" s="1"/>
  <c r="AD42"/>
  <c r="M42" s="1"/>
  <c r="N42" s="1"/>
  <c r="AD7"/>
  <c r="M7" s="1"/>
  <c r="N7" s="1"/>
  <c r="O7" s="1"/>
  <c r="AD9"/>
  <c r="M9" s="1"/>
  <c r="N9" s="1"/>
  <c r="O9" s="1"/>
  <c r="AD11"/>
  <c r="M11" s="1"/>
  <c r="N11" s="1"/>
  <c r="O11" s="1"/>
  <c r="AD13"/>
  <c r="M13" s="1"/>
  <c r="N13" s="1"/>
  <c r="O13" s="1"/>
  <c r="AD15"/>
  <c r="M15" s="1"/>
  <c r="N15" s="1"/>
  <c r="O15" s="1"/>
  <c r="AD17"/>
  <c r="M17" s="1"/>
  <c r="N17" s="1"/>
  <c r="O17" s="1"/>
  <c r="AD19"/>
  <c r="M19" s="1"/>
  <c r="N19" s="1"/>
  <c r="O19" s="1"/>
  <c r="AD21"/>
  <c r="M21" s="1"/>
  <c r="N21" s="1"/>
  <c r="O21" s="1"/>
  <c r="AD23"/>
  <c r="M23" s="1"/>
  <c r="N23" s="1"/>
  <c r="O23" s="1"/>
  <c r="AD25"/>
  <c r="M25" s="1"/>
  <c r="N25" s="1"/>
  <c r="O25" s="1"/>
  <c r="AD27"/>
  <c r="M27" s="1"/>
  <c r="N27" s="1"/>
  <c r="O27" s="1"/>
  <c r="AD29"/>
  <c r="M29" s="1"/>
  <c r="N29" s="1"/>
  <c r="O29" s="1"/>
  <c r="AD31"/>
  <c r="M31" s="1"/>
  <c r="N31" s="1"/>
  <c r="O31" s="1"/>
  <c r="AD33"/>
  <c r="M33" s="1"/>
  <c r="N33" s="1"/>
  <c r="AD35"/>
  <c r="M35" s="1"/>
  <c r="N35" s="1"/>
  <c r="O35" s="1"/>
  <c r="AD37"/>
  <c r="M37" s="1"/>
  <c r="N37" s="1"/>
  <c r="O37" s="1"/>
  <c r="AD39"/>
  <c r="M39" s="1"/>
  <c r="N39" s="1"/>
  <c r="O39" s="1"/>
  <c r="AD41"/>
  <c r="M41" s="1"/>
  <c r="N41" s="1"/>
  <c r="O41" s="1"/>
  <c r="AE6" i="10"/>
  <c r="M6" s="1"/>
  <c r="N6" s="1"/>
  <c r="AE8"/>
  <c r="M8" s="1"/>
  <c r="N8" s="1"/>
  <c r="O8" s="1"/>
  <c r="AE10"/>
  <c r="M10" s="1"/>
  <c r="N10" s="1"/>
  <c r="O10" s="1"/>
  <c r="AE12"/>
  <c r="M12" s="1"/>
  <c r="N12" s="1"/>
  <c r="O12" s="1"/>
  <c r="AE14"/>
  <c r="M14" s="1"/>
  <c r="N14" s="1"/>
  <c r="O14" s="1"/>
  <c r="AE16"/>
  <c r="M16" s="1"/>
  <c r="N16" s="1"/>
  <c r="O16" s="1"/>
  <c r="AE18"/>
  <c r="M18" s="1"/>
  <c r="N18" s="1"/>
  <c r="O18" s="1"/>
  <c r="AE20"/>
  <c r="M20" s="1"/>
  <c r="N20" s="1"/>
  <c r="O20" s="1"/>
  <c r="AE22"/>
  <c r="M22" s="1"/>
  <c r="N22" s="1"/>
  <c r="O22" s="1"/>
  <c r="AE24"/>
  <c r="M24" s="1"/>
  <c r="N24" s="1"/>
  <c r="O24" s="1"/>
  <c r="AE26"/>
  <c r="M26" s="1"/>
  <c r="N26" s="1"/>
  <c r="O26" s="1"/>
  <c r="AE28"/>
  <c r="M28" s="1"/>
  <c r="N28" s="1"/>
  <c r="O28" s="1"/>
  <c r="AE30"/>
  <c r="M30" s="1"/>
  <c r="N30" s="1"/>
  <c r="O30" s="1"/>
  <c r="AE32"/>
  <c r="M32" s="1"/>
  <c r="N32" s="1"/>
  <c r="O32" s="1"/>
  <c r="AE34"/>
  <c r="M34" s="1"/>
  <c r="N34" s="1"/>
  <c r="O34" s="1"/>
  <c r="AE36"/>
  <c r="M36" s="1"/>
  <c r="N36" s="1"/>
  <c r="O36" s="1"/>
  <c r="AE38"/>
  <c r="M38" s="1"/>
  <c r="N38" s="1"/>
  <c r="AE40"/>
  <c r="M40" s="1"/>
  <c r="N40" s="1"/>
  <c r="AE42"/>
  <c r="M42" s="1"/>
  <c r="N42" s="1"/>
  <c r="AE7"/>
  <c r="M7" s="1"/>
  <c r="N7" s="1"/>
  <c r="O7" s="1"/>
  <c r="AE9"/>
  <c r="M9" s="1"/>
  <c r="N9" s="1"/>
  <c r="O9" s="1"/>
  <c r="AE11"/>
  <c r="M11" s="1"/>
  <c r="N11" s="1"/>
  <c r="O11" s="1"/>
  <c r="AE13"/>
  <c r="M13" s="1"/>
  <c r="N13" s="1"/>
  <c r="O13" s="1"/>
  <c r="AE15"/>
  <c r="M15" s="1"/>
  <c r="N15" s="1"/>
  <c r="O15" s="1"/>
  <c r="AE17"/>
  <c r="M17" s="1"/>
  <c r="N17" s="1"/>
  <c r="O17" s="1"/>
  <c r="AE19"/>
  <c r="M19" s="1"/>
  <c r="N19" s="1"/>
  <c r="O19" s="1"/>
  <c r="AE21"/>
  <c r="M21" s="1"/>
  <c r="N21" s="1"/>
  <c r="O21" s="1"/>
  <c r="AE23"/>
  <c r="M23" s="1"/>
  <c r="N23" s="1"/>
  <c r="O23" s="1"/>
  <c r="AE25"/>
  <c r="M25" s="1"/>
  <c r="N25" s="1"/>
  <c r="O25" s="1"/>
  <c r="AE27"/>
  <c r="M27" s="1"/>
  <c r="N27" s="1"/>
  <c r="O27" s="1"/>
  <c r="AE29"/>
  <c r="M29" s="1"/>
  <c r="N29" s="1"/>
  <c r="O29" s="1"/>
  <c r="AE31"/>
  <c r="M31" s="1"/>
  <c r="N31" s="1"/>
  <c r="O31" s="1"/>
  <c r="AE33"/>
  <c r="M33" s="1"/>
  <c r="N33" s="1"/>
  <c r="AE35"/>
  <c r="M35" s="1"/>
  <c r="N35" s="1"/>
  <c r="O35" s="1"/>
  <c r="AE37"/>
  <c r="M37" s="1"/>
  <c r="N37" s="1"/>
  <c r="O37" s="1"/>
  <c r="AE39"/>
  <c r="M39" s="1"/>
  <c r="N39" s="1"/>
  <c r="O39" s="1"/>
  <c r="AE41"/>
  <c r="M41" s="1"/>
  <c r="N41" s="1"/>
  <c r="O41" s="1"/>
  <c r="Z6" i="7"/>
  <c r="K6" s="1"/>
  <c r="L6" s="1"/>
  <c r="M6" s="1"/>
  <c r="Z8"/>
  <c r="K8" s="1"/>
  <c r="L8" s="1"/>
  <c r="M8" s="1"/>
  <c r="Z10"/>
  <c r="K10" s="1"/>
  <c r="L10" s="1"/>
  <c r="M10" s="1"/>
  <c r="Z12"/>
  <c r="K12" s="1"/>
  <c r="L12" s="1"/>
  <c r="M12" s="1"/>
  <c r="Z14"/>
  <c r="K14" s="1"/>
  <c r="L14" s="1"/>
  <c r="M14" s="1"/>
  <c r="Z16"/>
  <c r="K16" s="1"/>
  <c r="L16" s="1"/>
  <c r="M16" s="1"/>
  <c r="Z18"/>
  <c r="K18" s="1"/>
  <c r="L18" s="1"/>
  <c r="M18" s="1"/>
  <c r="G30" s="1"/>
  <c r="J9" i="15" s="1"/>
  <c r="Z20" i="7"/>
  <c r="K20" s="1"/>
  <c r="L20" s="1"/>
  <c r="M20" s="1"/>
  <c r="Z22"/>
  <c r="K22" s="1"/>
  <c r="L22" s="1"/>
  <c r="M22" s="1"/>
  <c r="Z5"/>
  <c r="K5" s="1"/>
  <c r="L5" s="1"/>
  <c r="M5" s="1"/>
  <c r="Z7"/>
  <c r="K7" s="1"/>
  <c r="L7" s="1"/>
  <c r="M7" s="1"/>
  <c r="Z9"/>
  <c r="K9" s="1"/>
  <c r="L9" s="1"/>
  <c r="M9" s="1"/>
  <c r="Z11"/>
  <c r="K11" s="1"/>
  <c r="L11" s="1"/>
  <c r="M11" s="1"/>
  <c r="Z13"/>
  <c r="K13" s="1"/>
  <c r="L13" s="1"/>
  <c r="M13" s="1"/>
  <c r="G33" s="1"/>
  <c r="M9" i="15" s="1"/>
  <c r="Z15" i="7"/>
  <c r="K15" s="1"/>
  <c r="L15" s="1"/>
  <c r="M15" s="1"/>
  <c r="Z17"/>
  <c r="K17" s="1"/>
  <c r="L17" s="1"/>
  <c r="M17" s="1"/>
  <c r="Z19"/>
  <c r="K19" s="1"/>
  <c r="L19" s="1"/>
  <c r="M19" s="1"/>
  <c r="Z21"/>
  <c r="K21" s="1"/>
  <c r="L21" s="1"/>
  <c r="M21" s="1"/>
  <c r="F48" i="6"/>
  <c r="F50"/>
  <c r="F51"/>
  <c r="F53"/>
  <c r="G30" i="8"/>
  <c r="L8" i="15" s="1"/>
  <c r="M24" i="8"/>
  <c r="G31" i="7"/>
  <c r="K9" i="15" s="1"/>
  <c r="G28" i="7"/>
  <c r="H9" i="15" s="1"/>
  <c r="G32" i="7"/>
  <c r="L9" i="15" s="1"/>
  <c r="M24" i="7"/>
  <c r="N1" i="3"/>
  <c r="Z40" s="1"/>
  <c r="C49"/>
  <c r="C48"/>
  <c r="C44"/>
  <c r="K4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C56" i="2"/>
  <c r="N1"/>
  <c r="Z44" s="1"/>
  <c r="M44" s="1"/>
  <c r="N44" s="1"/>
  <c r="O44" s="1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6" i="1"/>
  <c r="K7"/>
  <c r="K8"/>
  <c r="K9"/>
  <c r="K10"/>
  <c r="K11"/>
  <c r="K12"/>
  <c r="K13"/>
  <c r="K14"/>
  <c r="K15"/>
  <c r="K16"/>
  <c r="K17"/>
  <c r="K18"/>
  <c r="C48" s="1"/>
  <c r="M5" i="13" s="1"/>
  <c r="S5" s="1"/>
  <c r="K19" i="1"/>
  <c r="K20"/>
  <c r="K21"/>
  <c r="K22"/>
  <c r="K23"/>
  <c r="K24"/>
  <c r="K25"/>
  <c r="K26"/>
  <c r="K27"/>
  <c r="K28"/>
  <c r="K29"/>
  <c r="K30"/>
  <c r="K31"/>
  <c r="K32"/>
  <c r="K33"/>
  <c r="K34"/>
  <c r="C43" s="1"/>
  <c r="H5" i="13" s="1"/>
  <c r="N5" s="1"/>
  <c r="K35" i="1"/>
  <c r="C47" s="1"/>
  <c r="L5" i="13" s="1"/>
  <c r="R5" s="1"/>
  <c r="K36" i="1"/>
  <c r="C46" s="1"/>
  <c r="K37"/>
  <c r="N1"/>
  <c r="AA36" s="1"/>
  <c r="M36" s="1"/>
  <c r="N36" s="1"/>
  <c r="P1" i="5"/>
  <c r="AB17" s="1"/>
  <c r="D9" i="15"/>
  <c r="F9" s="1"/>
  <c r="D8"/>
  <c r="F8" s="1"/>
  <c r="D7"/>
  <c r="F7" s="1"/>
  <c r="D6"/>
  <c r="F6" s="1"/>
  <c r="G11" i="14"/>
  <c r="U6" i="12"/>
  <c r="I15" i="13"/>
  <c r="I14"/>
  <c r="O14" s="1"/>
  <c r="I13"/>
  <c r="O13" s="1"/>
  <c r="I12"/>
  <c r="I11"/>
  <c r="O11" s="1"/>
  <c r="I10"/>
  <c r="O10" s="1"/>
  <c r="I9"/>
  <c r="O9" s="1"/>
  <c r="M7"/>
  <c r="S7" s="1"/>
  <c r="L7"/>
  <c r="K7"/>
  <c r="J7"/>
  <c r="P7" s="1"/>
  <c r="C50" i="3"/>
  <c r="I7" i="13"/>
  <c r="I8"/>
  <c r="O8" s="1"/>
  <c r="K7" i="10"/>
  <c r="S7" s="1"/>
  <c r="K8"/>
  <c r="S8" s="1"/>
  <c r="K9"/>
  <c r="S9" s="1"/>
  <c r="K10"/>
  <c r="S10" s="1"/>
  <c r="K11"/>
  <c r="K12"/>
  <c r="S12" s="1"/>
  <c r="K13"/>
  <c r="S13" s="1"/>
  <c r="K14"/>
  <c r="S14" s="1"/>
  <c r="K15"/>
  <c r="S15" s="1"/>
  <c r="K16"/>
  <c r="S16" s="1"/>
  <c r="K17"/>
  <c r="S17" s="1"/>
  <c r="K18"/>
  <c r="S18" s="1"/>
  <c r="K19"/>
  <c r="S19" s="1"/>
  <c r="K20"/>
  <c r="S20" s="1"/>
  <c r="K21"/>
  <c r="S21" s="1"/>
  <c r="K22"/>
  <c r="S22" s="1"/>
  <c r="K23"/>
  <c r="S23" s="1"/>
  <c r="K24"/>
  <c r="S24" s="1"/>
  <c r="K25"/>
  <c r="S25" s="1"/>
  <c r="K26"/>
  <c r="S26" s="1"/>
  <c r="K27"/>
  <c r="S27" s="1"/>
  <c r="K28"/>
  <c r="S28" s="1"/>
  <c r="K29"/>
  <c r="S29" s="1"/>
  <c r="K30"/>
  <c r="S30" s="1"/>
  <c r="K31"/>
  <c r="S31" s="1"/>
  <c r="K32"/>
  <c r="S32" s="1"/>
  <c r="K33"/>
  <c r="K34"/>
  <c r="S34" s="1"/>
  <c r="K35"/>
  <c r="S35" s="1"/>
  <c r="K36"/>
  <c r="S36" s="1"/>
  <c r="K37"/>
  <c r="K38"/>
  <c r="K39"/>
  <c r="S39" s="1"/>
  <c r="K40"/>
  <c r="S40" s="1"/>
  <c r="K41"/>
  <c r="S41" s="1"/>
  <c r="K42"/>
  <c r="K43"/>
  <c r="K6"/>
  <c r="S6" s="1"/>
  <c r="C53"/>
  <c r="M11" i="13" s="1"/>
  <c r="S11" s="1"/>
  <c r="H7"/>
  <c r="H6"/>
  <c r="M6"/>
  <c r="S6" s="1"/>
  <c r="J6"/>
  <c r="P6" s="1"/>
  <c r="I6"/>
  <c r="O6" s="1"/>
  <c r="N6"/>
  <c r="C50" i="2"/>
  <c r="C55"/>
  <c r="C54"/>
  <c r="L6" i="13" s="1"/>
  <c r="R6" s="1"/>
  <c r="C53" i="2"/>
  <c r="K6" i="13" s="1"/>
  <c r="Q6" s="1"/>
  <c r="N7"/>
  <c r="O7"/>
  <c r="Q7"/>
  <c r="R7"/>
  <c r="O12"/>
  <c r="O15"/>
  <c r="J5"/>
  <c r="P5" s="1"/>
  <c r="I5"/>
  <c r="O5" s="1"/>
  <c r="K43" i="12"/>
  <c r="S43" s="1"/>
  <c r="K43" i="4"/>
  <c r="K43" i="5"/>
  <c r="K43" i="11"/>
  <c r="K43" i="6"/>
  <c r="S43" s="1"/>
  <c r="K47" i="12" l="1"/>
  <c r="H15" i="15" s="1"/>
  <c r="G34" i="7"/>
  <c r="M17" i="5"/>
  <c r="O17" s="1"/>
  <c r="P17" s="1"/>
  <c r="N17"/>
  <c r="AB27" i="6"/>
  <c r="M27" s="1"/>
  <c r="N27" s="1"/>
  <c r="M26"/>
  <c r="N26" s="1"/>
  <c r="O26" s="1"/>
  <c r="K51" i="12"/>
  <c r="L15" i="15" s="1"/>
  <c r="J51" i="6"/>
  <c r="K10" i="15" s="1"/>
  <c r="G29" i="8"/>
  <c r="K8" i="15" s="1"/>
  <c r="J48" i="6"/>
  <c r="H10" i="15" s="1"/>
  <c r="G26" i="8"/>
  <c r="F52" i="4"/>
  <c r="O33" i="11"/>
  <c r="J52" s="1"/>
  <c r="M12" i="15" s="1"/>
  <c r="F52" i="11"/>
  <c r="F47"/>
  <c r="O42"/>
  <c r="J47" s="1"/>
  <c r="H12" i="15" s="1"/>
  <c r="F49" i="11"/>
  <c r="O38"/>
  <c r="J49" s="1"/>
  <c r="J12" i="15" s="1"/>
  <c r="J51" i="11"/>
  <c r="L12" i="15" s="1"/>
  <c r="F50" i="11"/>
  <c r="O40"/>
  <c r="J50" s="1"/>
  <c r="K12" i="15" s="1"/>
  <c r="F51" i="11"/>
  <c r="O33" i="10"/>
  <c r="J53" s="1"/>
  <c r="M11" i="15" s="1"/>
  <c r="F53" i="10"/>
  <c r="O42"/>
  <c r="J48" s="1"/>
  <c r="H11" i="15" s="1"/>
  <c r="F48" i="10"/>
  <c r="O38"/>
  <c r="J50" s="1"/>
  <c r="J11" i="15" s="1"/>
  <c r="F50" i="10"/>
  <c r="O6"/>
  <c r="J52" s="1"/>
  <c r="L11" i="15" s="1"/>
  <c r="F52" i="10"/>
  <c r="O40"/>
  <c r="J51" s="1"/>
  <c r="K11" i="15" s="1"/>
  <c r="F51" i="10"/>
  <c r="AA6" i="1"/>
  <c r="M6" s="1"/>
  <c r="N6" s="1"/>
  <c r="Z7" i="3"/>
  <c r="M7" s="1"/>
  <c r="N7" s="1"/>
  <c r="O7" s="1"/>
  <c r="Z9"/>
  <c r="M9" s="1"/>
  <c r="N9" s="1"/>
  <c r="O9" s="1"/>
  <c r="Z11"/>
  <c r="M11" s="1"/>
  <c r="N11" s="1"/>
  <c r="O11" s="1"/>
  <c r="Z13"/>
  <c r="M13" s="1"/>
  <c r="N13" s="1"/>
  <c r="O13" s="1"/>
  <c r="Z15"/>
  <c r="M15" s="1"/>
  <c r="N15" s="1"/>
  <c r="O15" s="1"/>
  <c r="Z17"/>
  <c r="M17" s="1"/>
  <c r="N17" s="1"/>
  <c r="O17" s="1"/>
  <c r="F49" s="1"/>
  <c r="M7" i="15" s="1"/>
  <c r="Z19" i="3"/>
  <c r="M19" s="1"/>
  <c r="N19" s="1"/>
  <c r="O19" s="1"/>
  <c r="Z21"/>
  <c r="M21" s="1"/>
  <c r="N21" s="1"/>
  <c r="O21" s="1"/>
  <c r="Z23"/>
  <c r="M23" s="1"/>
  <c r="N23" s="1"/>
  <c r="O23" s="1"/>
  <c r="Z25"/>
  <c r="M25" s="1"/>
  <c r="N25" s="1"/>
  <c r="O25" s="1"/>
  <c r="Z27"/>
  <c r="M27" s="1"/>
  <c r="N27" s="1"/>
  <c r="O27" s="1"/>
  <c r="Z29"/>
  <c r="M29" s="1"/>
  <c r="N29" s="1"/>
  <c r="O29" s="1"/>
  <c r="Z31"/>
  <c r="M31" s="1"/>
  <c r="N31" s="1"/>
  <c r="O31" s="1"/>
  <c r="Z33"/>
  <c r="M33" s="1"/>
  <c r="N33" s="1"/>
  <c r="O33" s="1"/>
  <c r="Z35"/>
  <c r="M35" s="1"/>
  <c r="N35" s="1"/>
  <c r="O35" s="1"/>
  <c r="Z37"/>
  <c r="M37" s="1"/>
  <c r="N37" s="1"/>
  <c r="O37" s="1"/>
  <c r="Z39"/>
  <c r="M39" s="1"/>
  <c r="N39" s="1"/>
  <c r="O39" s="1"/>
  <c r="Z6"/>
  <c r="M6" s="1"/>
  <c r="N6" s="1"/>
  <c r="O6" s="1"/>
  <c r="Z8"/>
  <c r="M8" s="1"/>
  <c r="N8" s="1"/>
  <c r="O8" s="1"/>
  <c r="Z10"/>
  <c r="M10" s="1"/>
  <c r="N10" s="1"/>
  <c r="O10" s="1"/>
  <c r="Z12"/>
  <c r="M12" s="1"/>
  <c r="N12" s="1"/>
  <c r="O12" s="1"/>
  <c r="Z14"/>
  <c r="M14" s="1"/>
  <c r="N14" s="1"/>
  <c r="O14" s="1"/>
  <c r="Z16"/>
  <c r="M16" s="1"/>
  <c r="N16" s="1"/>
  <c r="O16" s="1"/>
  <c r="Z18"/>
  <c r="M18" s="1"/>
  <c r="N18" s="1"/>
  <c r="O18" s="1"/>
  <c r="Z20"/>
  <c r="M20" s="1"/>
  <c r="N20" s="1"/>
  <c r="O20" s="1"/>
  <c r="Z22"/>
  <c r="M22" s="1"/>
  <c r="N22" s="1"/>
  <c r="O22" s="1"/>
  <c r="Z24"/>
  <c r="M24" s="1"/>
  <c r="N24" s="1"/>
  <c r="O24" s="1"/>
  <c r="Z26"/>
  <c r="M26" s="1"/>
  <c r="N26" s="1"/>
  <c r="O26" s="1"/>
  <c r="Z28"/>
  <c r="M28" s="1"/>
  <c r="N28" s="1"/>
  <c r="O28" s="1"/>
  <c r="Z30"/>
  <c r="M30" s="1"/>
  <c r="N30" s="1"/>
  <c r="O30" s="1"/>
  <c r="Z32"/>
  <c r="M32" s="1"/>
  <c r="N32" s="1"/>
  <c r="O32" s="1"/>
  <c r="Z34"/>
  <c r="M34" s="1"/>
  <c r="N34" s="1"/>
  <c r="O34" s="1"/>
  <c r="Z36"/>
  <c r="M36" s="1"/>
  <c r="N36" s="1"/>
  <c r="O36" s="1"/>
  <c r="Z38"/>
  <c r="M38" s="1"/>
  <c r="N38" s="1"/>
  <c r="O38" s="1"/>
  <c r="Z7" i="2"/>
  <c r="M7" s="1"/>
  <c r="N7" s="1"/>
  <c r="O7" s="1"/>
  <c r="Z9"/>
  <c r="M9" s="1"/>
  <c r="N9" s="1"/>
  <c r="O9" s="1"/>
  <c r="Z11"/>
  <c r="M11" s="1"/>
  <c r="N11" s="1"/>
  <c r="O11" s="1"/>
  <c r="Z13"/>
  <c r="M13" s="1"/>
  <c r="N13" s="1"/>
  <c r="O13" s="1"/>
  <c r="Z15"/>
  <c r="M15" s="1"/>
  <c r="N15" s="1"/>
  <c r="O15" s="1"/>
  <c r="Z17"/>
  <c r="M17" s="1"/>
  <c r="N17" s="1"/>
  <c r="O17" s="1"/>
  <c r="Z19"/>
  <c r="M19" s="1"/>
  <c r="N19" s="1"/>
  <c r="O19" s="1"/>
  <c r="Z21"/>
  <c r="M21" s="1"/>
  <c r="N21" s="1"/>
  <c r="O21" s="1"/>
  <c r="Z23"/>
  <c r="M23" s="1"/>
  <c r="N23" s="1"/>
  <c r="O23" s="1"/>
  <c r="Z25"/>
  <c r="M25" s="1"/>
  <c r="N25" s="1"/>
  <c r="O25" s="1"/>
  <c r="Z27"/>
  <c r="M27" s="1"/>
  <c r="N27" s="1"/>
  <c r="O27" s="1"/>
  <c r="Z29"/>
  <c r="M29" s="1"/>
  <c r="N29" s="1"/>
  <c r="O29" s="1"/>
  <c r="Z31"/>
  <c r="M31" s="1"/>
  <c r="N31" s="1"/>
  <c r="O31" s="1"/>
  <c r="Z33"/>
  <c r="M33" s="1"/>
  <c r="N33" s="1"/>
  <c r="O33" s="1"/>
  <c r="Z35"/>
  <c r="M35" s="1"/>
  <c r="N35" s="1"/>
  <c r="O35" s="1"/>
  <c r="Z37"/>
  <c r="M37" s="1"/>
  <c r="N37" s="1"/>
  <c r="O37" s="1"/>
  <c r="Z39"/>
  <c r="M39" s="1"/>
  <c r="N39" s="1"/>
  <c r="O39" s="1"/>
  <c r="Z41"/>
  <c r="M41" s="1"/>
  <c r="Z43"/>
  <c r="M43" s="1"/>
  <c r="Z6"/>
  <c r="Z8"/>
  <c r="M8" s="1"/>
  <c r="N8" s="1"/>
  <c r="O8" s="1"/>
  <c r="Z10"/>
  <c r="M10" s="1"/>
  <c r="N10" s="1"/>
  <c r="O10" s="1"/>
  <c r="Z12"/>
  <c r="M12" s="1"/>
  <c r="N12" s="1"/>
  <c r="O12" s="1"/>
  <c r="Z14"/>
  <c r="M14" s="1"/>
  <c r="N14" s="1"/>
  <c r="O14" s="1"/>
  <c r="Z16"/>
  <c r="M16" s="1"/>
  <c r="N16" s="1"/>
  <c r="O16" s="1"/>
  <c r="Z18"/>
  <c r="M18" s="1"/>
  <c r="N18" s="1"/>
  <c r="O18" s="1"/>
  <c r="Z20"/>
  <c r="M20" s="1"/>
  <c r="N20" s="1"/>
  <c r="O20" s="1"/>
  <c r="Z22"/>
  <c r="M22" s="1"/>
  <c r="Z24"/>
  <c r="M24" s="1"/>
  <c r="N24" s="1"/>
  <c r="O24" s="1"/>
  <c r="Z26"/>
  <c r="M26" s="1"/>
  <c r="N26" s="1"/>
  <c r="O26" s="1"/>
  <c r="Z28"/>
  <c r="M28" s="1"/>
  <c r="N28" s="1"/>
  <c r="O28" s="1"/>
  <c r="Z30"/>
  <c r="M30" s="1"/>
  <c r="N30" s="1"/>
  <c r="O30" s="1"/>
  <c r="Z32"/>
  <c r="M32" s="1"/>
  <c r="N32" s="1"/>
  <c r="O32" s="1"/>
  <c r="Z34"/>
  <c r="M34" s="1"/>
  <c r="N34" s="1"/>
  <c r="O34" s="1"/>
  <c r="Z36"/>
  <c r="M36" s="1"/>
  <c r="N36" s="1"/>
  <c r="O36" s="1"/>
  <c r="Z38"/>
  <c r="M38" s="1"/>
  <c r="N38" s="1"/>
  <c r="O38" s="1"/>
  <c r="Z40"/>
  <c r="M40" s="1"/>
  <c r="N40" s="1"/>
  <c r="O40" s="1"/>
  <c r="Z42"/>
  <c r="M42" s="1"/>
  <c r="K45"/>
  <c r="L6" i="14"/>
  <c r="S43" i="10"/>
  <c r="K5" i="13"/>
  <c r="Q5" s="1"/>
  <c r="K38" i="1"/>
  <c r="O36"/>
  <c r="AA9"/>
  <c r="AA13"/>
  <c r="AA17"/>
  <c r="AA21"/>
  <c r="AA25"/>
  <c r="AA29"/>
  <c r="AA33"/>
  <c r="AA37"/>
  <c r="AA10"/>
  <c r="AA14"/>
  <c r="AA18"/>
  <c r="AA22"/>
  <c r="AA26"/>
  <c r="AA30"/>
  <c r="AA34"/>
  <c r="AA38"/>
  <c r="AA7"/>
  <c r="AA11"/>
  <c r="AA15"/>
  <c r="AA19"/>
  <c r="AA23"/>
  <c r="AA27"/>
  <c r="AA31"/>
  <c r="AA35"/>
  <c r="AA8"/>
  <c r="AA12"/>
  <c r="AA16"/>
  <c r="AA20"/>
  <c r="AA24"/>
  <c r="AA28"/>
  <c r="AA32"/>
  <c r="AB24" i="5"/>
  <c r="N24" s="1"/>
  <c r="AB32"/>
  <c r="N32" s="1"/>
  <c r="AB9"/>
  <c r="N9" s="1"/>
  <c r="AB40"/>
  <c r="N40" s="1"/>
  <c r="AB13"/>
  <c r="N13" s="1"/>
  <c r="AB43"/>
  <c r="N43" s="1"/>
  <c r="AB39"/>
  <c r="N39" s="1"/>
  <c r="AB35"/>
  <c r="N35" s="1"/>
  <c r="AB31"/>
  <c r="N31" s="1"/>
  <c r="AB27"/>
  <c r="N27" s="1"/>
  <c r="AB23"/>
  <c r="N23" s="1"/>
  <c r="AB19"/>
  <c r="N19" s="1"/>
  <c r="AB15"/>
  <c r="N15" s="1"/>
  <c r="AB11"/>
  <c r="N11" s="1"/>
  <c r="AB7"/>
  <c r="N7" s="1"/>
  <c r="AB42"/>
  <c r="N42" s="1"/>
  <c r="AB38"/>
  <c r="N38" s="1"/>
  <c r="F50" s="1"/>
  <c r="AB34"/>
  <c r="N34" s="1"/>
  <c r="AB30"/>
  <c r="N30" s="1"/>
  <c r="AB26"/>
  <c r="N26" s="1"/>
  <c r="AB22"/>
  <c r="N22" s="1"/>
  <c r="AB18"/>
  <c r="N18" s="1"/>
  <c r="AB14"/>
  <c r="N14" s="1"/>
  <c r="AB10"/>
  <c r="N10" s="1"/>
  <c r="AB6"/>
  <c r="N6" s="1"/>
  <c r="AB41"/>
  <c r="N41" s="1"/>
  <c r="AB37"/>
  <c r="N37" s="1"/>
  <c r="AB33"/>
  <c r="N33" s="1"/>
  <c r="F53" s="1"/>
  <c r="AB29"/>
  <c r="N29" s="1"/>
  <c r="AB25"/>
  <c r="N25" s="1"/>
  <c r="AB21"/>
  <c r="N21" s="1"/>
  <c r="AB12"/>
  <c r="N12" s="1"/>
  <c r="AB20"/>
  <c r="N20" s="1"/>
  <c r="AB36"/>
  <c r="N36" s="1"/>
  <c r="AB8"/>
  <c r="N8" s="1"/>
  <c r="AB16"/>
  <c r="N16" s="1"/>
  <c r="AB28"/>
  <c r="N28" s="1"/>
  <c r="AB44"/>
  <c r="K6" i="14"/>
  <c r="S11" i="10"/>
  <c r="C48"/>
  <c r="S42"/>
  <c r="C50"/>
  <c r="S38"/>
  <c r="S37"/>
  <c r="M6" i="14"/>
  <c r="S33" i="10"/>
  <c r="C52"/>
  <c r="C51"/>
  <c r="H11" i="13"/>
  <c r="N11" s="1"/>
  <c r="K44" i="10"/>
  <c r="D11" i="15" s="1"/>
  <c r="F11" s="1"/>
  <c r="O17" i="13"/>
  <c r="K7" i="6"/>
  <c r="S7" s="1"/>
  <c r="K6" i="12"/>
  <c r="S6" s="1"/>
  <c r="K7"/>
  <c r="S7" s="1"/>
  <c r="K8"/>
  <c r="S8" s="1"/>
  <c r="K9"/>
  <c r="S9" s="1"/>
  <c r="K10"/>
  <c r="S10" s="1"/>
  <c r="K11"/>
  <c r="S11" s="1"/>
  <c r="K12"/>
  <c r="K13"/>
  <c r="S13" s="1"/>
  <c r="K14"/>
  <c r="S14" s="1"/>
  <c r="K15"/>
  <c r="S15" s="1"/>
  <c r="K16"/>
  <c r="S16" s="1"/>
  <c r="K17"/>
  <c r="S17" s="1"/>
  <c r="K18"/>
  <c r="S18" s="1"/>
  <c r="K19"/>
  <c r="S19" s="1"/>
  <c r="K20"/>
  <c r="S20" s="1"/>
  <c r="K21"/>
  <c r="S21" s="1"/>
  <c r="K22"/>
  <c r="S22" s="1"/>
  <c r="K23"/>
  <c r="S23" s="1"/>
  <c r="K24"/>
  <c r="S24" s="1"/>
  <c r="K25"/>
  <c r="S25" s="1"/>
  <c r="K26"/>
  <c r="S26" s="1"/>
  <c r="K27"/>
  <c r="S27" s="1"/>
  <c r="K28"/>
  <c r="S28" s="1"/>
  <c r="K29"/>
  <c r="S29" s="1"/>
  <c r="K30"/>
  <c r="S30" s="1"/>
  <c r="K31"/>
  <c r="S31" s="1"/>
  <c r="K32"/>
  <c r="S32" s="1"/>
  <c r="K33"/>
  <c r="K34"/>
  <c r="K35"/>
  <c r="S35" s="1"/>
  <c r="K36"/>
  <c r="K37"/>
  <c r="S37" s="1"/>
  <c r="K38"/>
  <c r="K39"/>
  <c r="S39" s="1"/>
  <c r="K40"/>
  <c r="S40" s="1"/>
  <c r="K41"/>
  <c r="S41" s="1"/>
  <c r="K42"/>
  <c r="K6" i="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C53" s="1"/>
  <c r="K34"/>
  <c r="K35"/>
  <c r="K36"/>
  <c r="K37"/>
  <c r="K38"/>
  <c r="C50" s="1"/>
  <c r="K39"/>
  <c r="K40"/>
  <c r="K41"/>
  <c r="K42"/>
  <c r="K6" i="5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C53" s="1"/>
  <c r="K34"/>
  <c r="K35"/>
  <c r="K36"/>
  <c r="K37"/>
  <c r="K38"/>
  <c r="C50" s="1"/>
  <c r="K39"/>
  <c r="K40"/>
  <c r="K41"/>
  <c r="K42"/>
  <c r="K6" i="11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C52" s="1"/>
  <c r="K34"/>
  <c r="K35"/>
  <c r="K36"/>
  <c r="K37"/>
  <c r="K38"/>
  <c r="C49" s="1"/>
  <c r="K39"/>
  <c r="K40"/>
  <c r="K41"/>
  <c r="K42"/>
  <c r="K6" i="6"/>
  <c r="S6" s="1"/>
  <c r="K8"/>
  <c r="S8" s="1"/>
  <c r="K9"/>
  <c r="S9" s="1"/>
  <c r="K10"/>
  <c r="S10" s="1"/>
  <c r="K11"/>
  <c r="S11" s="1"/>
  <c r="K12"/>
  <c r="S12" s="1"/>
  <c r="K13"/>
  <c r="S13" s="1"/>
  <c r="K14"/>
  <c r="S14" s="1"/>
  <c r="K15"/>
  <c r="S15" s="1"/>
  <c r="K16"/>
  <c r="S16" s="1"/>
  <c r="K17"/>
  <c r="S17" s="1"/>
  <c r="K18"/>
  <c r="S18" s="1"/>
  <c r="K19"/>
  <c r="K20"/>
  <c r="K21"/>
  <c r="S21" s="1"/>
  <c r="K22"/>
  <c r="S22" s="1"/>
  <c r="K23"/>
  <c r="S23" s="1"/>
  <c r="K24"/>
  <c r="S24" s="1"/>
  <c r="K25"/>
  <c r="S25" s="1"/>
  <c r="K26"/>
  <c r="S26" s="1"/>
  <c r="K27"/>
  <c r="S27" s="1"/>
  <c r="K28"/>
  <c r="S28" s="1"/>
  <c r="K29"/>
  <c r="S29" s="1"/>
  <c r="K30"/>
  <c r="S30" s="1"/>
  <c r="K31"/>
  <c r="S31" s="1"/>
  <c r="K32"/>
  <c r="S32" s="1"/>
  <c r="K33"/>
  <c r="K34"/>
  <c r="S34" s="1"/>
  <c r="K35"/>
  <c r="S35" s="1"/>
  <c r="K36"/>
  <c r="K37"/>
  <c r="S37" s="1"/>
  <c r="K38"/>
  <c r="K39"/>
  <c r="S39" s="1"/>
  <c r="K40"/>
  <c r="K41"/>
  <c r="S41" s="1"/>
  <c r="K42"/>
  <c r="I17" i="7"/>
  <c r="I6"/>
  <c r="I24" s="1"/>
  <c r="D9" i="13" s="1"/>
  <c r="F9" s="1"/>
  <c r="I7" i="7"/>
  <c r="I8"/>
  <c r="I9"/>
  <c r="I10"/>
  <c r="I11"/>
  <c r="I12"/>
  <c r="I13"/>
  <c r="I14"/>
  <c r="I15"/>
  <c r="I16"/>
  <c r="I18"/>
  <c r="D30" s="1"/>
  <c r="J9" i="13" s="1"/>
  <c r="P9" s="1"/>
  <c r="I19" i="7"/>
  <c r="D31" s="1"/>
  <c r="K9" i="13" s="1"/>
  <c r="Q9" s="1"/>
  <c r="I20" i="7"/>
  <c r="I21"/>
  <c r="I22"/>
  <c r="I23"/>
  <c r="I5"/>
  <c r="I16" i="8"/>
  <c r="I17"/>
  <c r="I18"/>
  <c r="D28" s="1"/>
  <c r="J8" i="13" s="1"/>
  <c r="P8" s="1"/>
  <c r="J6" i="14" l="1"/>
  <c r="H8" i="15"/>
  <c r="G32" i="8"/>
  <c r="O27" i="6"/>
  <c r="J52" s="1"/>
  <c r="F52"/>
  <c r="F48" i="5"/>
  <c r="F52"/>
  <c r="F51"/>
  <c r="J53" i="11"/>
  <c r="F44" i="3"/>
  <c r="H7" i="15" s="1"/>
  <c r="O41" i="3"/>
  <c r="F48"/>
  <c r="L7" i="15" s="1"/>
  <c r="M6" i="2"/>
  <c r="N6" s="1"/>
  <c r="O6" s="1"/>
  <c r="N43"/>
  <c r="O43" s="1"/>
  <c r="F53" s="1"/>
  <c r="K6" i="15" s="1"/>
  <c r="N42" i="2"/>
  <c r="O42" s="1"/>
  <c r="F54" s="1"/>
  <c r="N22"/>
  <c r="O22" s="1"/>
  <c r="F55" s="1"/>
  <c r="M6" i="15" s="1"/>
  <c r="N41" i="2"/>
  <c r="O41" s="1"/>
  <c r="F50" s="1"/>
  <c r="H6" i="15" s="1"/>
  <c r="M12" i="13"/>
  <c r="S12" s="1"/>
  <c r="M14"/>
  <c r="S14" s="1"/>
  <c r="L11"/>
  <c r="R11" s="1"/>
  <c r="J12"/>
  <c r="P12" s="1"/>
  <c r="J14"/>
  <c r="P14" s="1"/>
  <c r="K11"/>
  <c r="Q11" s="1"/>
  <c r="J11"/>
  <c r="P11" s="1"/>
  <c r="C48" i="4"/>
  <c r="M28" i="5"/>
  <c r="O28" s="1"/>
  <c r="P28" s="1"/>
  <c r="M20"/>
  <c r="O20" s="1"/>
  <c r="P20" s="1"/>
  <c r="M29"/>
  <c r="O29" s="1"/>
  <c r="P29" s="1"/>
  <c r="M6"/>
  <c r="O6" s="1"/>
  <c r="P6" s="1"/>
  <c r="M22"/>
  <c r="O22" s="1"/>
  <c r="P22" s="1"/>
  <c r="M38"/>
  <c r="O38" s="1"/>
  <c r="P38" s="1"/>
  <c r="M15"/>
  <c r="O15" s="1"/>
  <c r="P15" s="1"/>
  <c r="M31"/>
  <c r="O31" s="1"/>
  <c r="P31" s="1"/>
  <c r="M13"/>
  <c r="O13" s="1"/>
  <c r="P13" s="1"/>
  <c r="M16"/>
  <c r="O16" s="1"/>
  <c r="P16" s="1"/>
  <c r="M12"/>
  <c r="O12" s="1"/>
  <c r="P12" s="1"/>
  <c r="M33"/>
  <c r="O33" s="1"/>
  <c r="P33" s="1"/>
  <c r="M10"/>
  <c r="O10" s="1"/>
  <c r="P10" s="1"/>
  <c r="M26"/>
  <c r="O26" s="1"/>
  <c r="P26" s="1"/>
  <c r="M42"/>
  <c r="O42" s="1"/>
  <c r="P42" s="1"/>
  <c r="M19"/>
  <c r="O19" s="1"/>
  <c r="P19" s="1"/>
  <c r="M35"/>
  <c r="O35" s="1"/>
  <c r="P35" s="1"/>
  <c r="M40"/>
  <c r="O40" s="1"/>
  <c r="P40" s="1"/>
  <c r="M24"/>
  <c r="O24" s="1"/>
  <c r="P24" s="1"/>
  <c r="M8"/>
  <c r="O8" s="1"/>
  <c r="P8" s="1"/>
  <c r="M21"/>
  <c r="O21" s="1"/>
  <c r="P21" s="1"/>
  <c r="M37"/>
  <c r="O37" s="1"/>
  <c r="P37" s="1"/>
  <c r="M14"/>
  <c r="O14" s="1"/>
  <c r="P14" s="1"/>
  <c r="M30"/>
  <c r="O30" s="1"/>
  <c r="P30" s="1"/>
  <c r="M7"/>
  <c r="O7" s="1"/>
  <c r="P7" s="1"/>
  <c r="M23"/>
  <c r="O23" s="1"/>
  <c r="P23" s="1"/>
  <c r="M39"/>
  <c r="O39" s="1"/>
  <c r="P39" s="1"/>
  <c r="M9"/>
  <c r="O9" s="1"/>
  <c r="P9" s="1"/>
  <c r="M36"/>
  <c r="O36" s="1"/>
  <c r="P36" s="1"/>
  <c r="M25"/>
  <c r="O25" s="1"/>
  <c r="P25" s="1"/>
  <c r="M41"/>
  <c r="O41" s="1"/>
  <c r="P41" s="1"/>
  <c r="M18"/>
  <c r="O18" s="1"/>
  <c r="P18" s="1"/>
  <c r="M34"/>
  <c r="O34" s="1"/>
  <c r="P34" s="1"/>
  <c r="M11"/>
  <c r="O11" s="1"/>
  <c r="P11" s="1"/>
  <c r="M27"/>
  <c r="O27" s="1"/>
  <c r="P27" s="1"/>
  <c r="M43"/>
  <c r="O43" s="1"/>
  <c r="P43" s="1"/>
  <c r="M32"/>
  <c r="O32" s="1"/>
  <c r="P32" s="1"/>
  <c r="M28" i="1"/>
  <c r="N28" s="1"/>
  <c r="O28" s="1"/>
  <c r="M27"/>
  <c r="N27" s="1"/>
  <c r="O27" s="1"/>
  <c r="M33"/>
  <c r="N33" s="1"/>
  <c r="O33" s="1"/>
  <c r="M20"/>
  <c r="N20" s="1"/>
  <c r="O20" s="1"/>
  <c r="M35"/>
  <c r="N35" s="1"/>
  <c r="O35" s="1"/>
  <c r="M19"/>
  <c r="N19" s="1"/>
  <c r="O19" s="1"/>
  <c r="M22"/>
  <c r="N22" s="1"/>
  <c r="O22" s="1"/>
  <c r="O6"/>
  <c r="M25"/>
  <c r="N25" s="1"/>
  <c r="O25" s="1"/>
  <c r="M9"/>
  <c r="N9" s="1"/>
  <c r="O9" s="1"/>
  <c r="M32"/>
  <c r="N32" s="1"/>
  <c r="O32" s="1"/>
  <c r="M16"/>
  <c r="N16" s="1"/>
  <c r="O16" s="1"/>
  <c r="M31"/>
  <c r="N31" s="1"/>
  <c r="O31" s="1"/>
  <c r="M15"/>
  <c r="N15" s="1"/>
  <c r="O15" s="1"/>
  <c r="M34"/>
  <c r="N34" s="1"/>
  <c r="O34" s="1"/>
  <c r="G43" s="1"/>
  <c r="H5" i="15" s="1"/>
  <c r="M18" i="1"/>
  <c r="N18" s="1"/>
  <c r="O18" s="1"/>
  <c r="G48" s="1"/>
  <c r="M5" i="15" s="1"/>
  <c r="M37" i="1"/>
  <c r="N37" s="1"/>
  <c r="O37" s="1"/>
  <c r="G46" s="1"/>
  <c r="K5" i="15" s="1"/>
  <c r="M21" i="1"/>
  <c r="N21" s="1"/>
  <c r="O21" s="1"/>
  <c r="M12"/>
  <c r="N12" s="1"/>
  <c r="O12" s="1"/>
  <c r="M11"/>
  <c r="N11" s="1"/>
  <c r="O11" s="1"/>
  <c r="M30"/>
  <c r="N30" s="1"/>
  <c r="O30" s="1"/>
  <c r="M14"/>
  <c r="N14" s="1"/>
  <c r="O14" s="1"/>
  <c r="M17"/>
  <c r="N17" s="1"/>
  <c r="O17" s="1"/>
  <c r="M24"/>
  <c r="N24" s="1"/>
  <c r="O24" s="1"/>
  <c r="M8"/>
  <c r="N8" s="1"/>
  <c r="O8" s="1"/>
  <c r="M23"/>
  <c r="N23" s="1"/>
  <c r="O23" s="1"/>
  <c r="M7"/>
  <c r="N7" s="1"/>
  <c r="O7" s="1"/>
  <c r="M26"/>
  <c r="N26" s="1"/>
  <c r="O26" s="1"/>
  <c r="M10"/>
  <c r="N10" s="1"/>
  <c r="O10" s="1"/>
  <c r="M29"/>
  <c r="N29" s="1"/>
  <c r="O29" s="1"/>
  <c r="M13"/>
  <c r="N13" s="1"/>
  <c r="O13" s="1"/>
  <c r="M13" i="13"/>
  <c r="S13" s="1"/>
  <c r="C48" i="5"/>
  <c r="H13" i="13" s="1"/>
  <c r="N13" s="1"/>
  <c r="J13"/>
  <c r="P13" s="1"/>
  <c r="C52" i="5"/>
  <c r="C53" i="6"/>
  <c r="M5" i="14"/>
  <c r="S33" i="6"/>
  <c r="L7" i="14"/>
  <c r="S36" i="12"/>
  <c r="K7" i="14"/>
  <c r="S12" i="12"/>
  <c r="D33" i="7"/>
  <c r="M9" i="13" s="1"/>
  <c r="S9" s="1"/>
  <c r="C51" i="6"/>
  <c r="S40"/>
  <c r="C52"/>
  <c r="S36"/>
  <c r="S20"/>
  <c r="C50" i="11"/>
  <c r="H14" i="13"/>
  <c r="N14" s="1"/>
  <c r="S19" i="6"/>
  <c r="L5" i="14"/>
  <c r="C51" i="5"/>
  <c r="C47" i="12"/>
  <c r="S42"/>
  <c r="C49"/>
  <c r="S38"/>
  <c r="S34"/>
  <c r="J54" i="10"/>
  <c r="F6" i="14" s="1"/>
  <c r="E6"/>
  <c r="H6"/>
  <c r="O6" s="1"/>
  <c r="D32" i="7"/>
  <c r="L9" i="13" s="1"/>
  <c r="R9" s="1"/>
  <c r="C48" i="6"/>
  <c r="S42"/>
  <c r="C50"/>
  <c r="S38"/>
  <c r="C47" i="11"/>
  <c r="C51" i="4"/>
  <c r="C52"/>
  <c r="C52" i="12"/>
  <c r="S33"/>
  <c r="M7" i="14"/>
  <c r="C54" i="10"/>
  <c r="H10" i="13"/>
  <c r="N10" s="1"/>
  <c r="C51" i="11"/>
  <c r="H12" i="13"/>
  <c r="N12" s="1"/>
  <c r="C50" i="12"/>
  <c r="C51"/>
  <c r="K44"/>
  <c r="K44" i="4"/>
  <c r="K44" i="5"/>
  <c r="K44" i="11"/>
  <c r="D11" i="13"/>
  <c r="F11" s="1"/>
  <c r="K44" i="6"/>
  <c r="O44" l="1"/>
  <c r="J52" i="5"/>
  <c r="L13" i="15" s="1"/>
  <c r="H52" i="5"/>
  <c r="J51"/>
  <c r="K13" i="15" s="1"/>
  <c r="K17" s="1"/>
  <c r="H51" i="5"/>
  <c r="J53"/>
  <c r="M13" i="15" s="1"/>
  <c r="M17" s="1"/>
  <c r="H53" i="5"/>
  <c r="J50"/>
  <c r="J13" i="15" s="1"/>
  <c r="J17" s="1"/>
  <c r="H50" i="5"/>
  <c r="F57" i="2"/>
  <c r="L6" i="15"/>
  <c r="J54" i="6"/>
  <c r="L10" i="15"/>
  <c r="O46" i="2"/>
  <c r="J48" i="5"/>
  <c r="H48"/>
  <c r="F50" i="3"/>
  <c r="D15" i="13"/>
  <c r="F15" s="1"/>
  <c r="D15" i="15"/>
  <c r="F15" s="1"/>
  <c r="K15" i="13"/>
  <c r="Q15" s="1"/>
  <c r="L12"/>
  <c r="R12" s="1"/>
  <c r="L14"/>
  <c r="R14" s="1"/>
  <c r="C53" i="11"/>
  <c r="J10" i="13"/>
  <c r="P10" s="1"/>
  <c r="C54" i="6"/>
  <c r="J15" i="13"/>
  <c r="P15" s="1"/>
  <c r="H15"/>
  <c r="N15" s="1"/>
  <c r="K12"/>
  <c r="Q12" s="1"/>
  <c r="L10"/>
  <c r="R10" s="1"/>
  <c r="K10"/>
  <c r="Q10" s="1"/>
  <c r="M10"/>
  <c r="S10" s="1"/>
  <c r="D10"/>
  <c r="F10" s="1"/>
  <c r="D10" i="15"/>
  <c r="F10" s="1"/>
  <c r="D12" i="13"/>
  <c r="F12" s="1"/>
  <c r="D12" i="15"/>
  <c r="F12" s="1"/>
  <c r="D14" i="13"/>
  <c r="F14" s="1"/>
  <c r="D14" i="15"/>
  <c r="F14" s="1"/>
  <c r="L15" i="13"/>
  <c r="R15" s="1"/>
  <c r="M15"/>
  <c r="S15" s="1"/>
  <c r="K14"/>
  <c r="Q14" s="1"/>
  <c r="G47" i="1"/>
  <c r="L5" i="15" s="1"/>
  <c r="L17" s="1"/>
  <c r="D13" i="13"/>
  <c r="F13" s="1"/>
  <c r="D13" i="15"/>
  <c r="F13" s="1"/>
  <c r="L13" i="13"/>
  <c r="R13" s="1"/>
  <c r="K13"/>
  <c r="Q13" s="1"/>
  <c r="H7" i="14"/>
  <c r="O7" s="1"/>
  <c r="E7"/>
  <c r="K53" i="12"/>
  <c r="F7" i="14" s="1"/>
  <c r="E5"/>
  <c r="K5"/>
  <c r="O5" s="1"/>
  <c r="F5"/>
  <c r="D34" i="7"/>
  <c r="H9" i="13"/>
  <c r="N9" s="1"/>
  <c r="C53" i="12"/>
  <c r="C54" i="4"/>
  <c r="C54" i="5"/>
  <c r="J40" i="3"/>
  <c r="D7" i="13" s="1"/>
  <c r="F7" s="1"/>
  <c r="D6"/>
  <c r="F6" s="1"/>
  <c r="H13" i="15" l="1"/>
  <c r="H17" s="1"/>
  <c r="J54" i="5"/>
  <c r="P17" i="13"/>
  <c r="F54" i="5"/>
  <c r="D5" i="13"/>
  <c r="F5" s="1"/>
  <c r="D5" i="15"/>
  <c r="F5" s="1"/>
  <c r="O44" i="10"/>
  <c r="O44" i="11"/>
  <c r="O44" i="12" l="1"/>
  <c r="I22" i="8"/>
  <c r="I21"/>
  <c r="I20"/>
  <c r="I19"/>
  <c r="I15"/>
  <c r="I14"/>
  <c r="I13"/>
  <c r="D31" s="1"/>
  <c r="M8" i="13" s="1"/>
  <c r="S8" s="1"/>
  <c r="S17" s="1"/>
  <c r="I12" i="8"/>
  <c r="I11"/>
  <c r="I10"/>
  <c r="I9"/>
  <c r="I7"/>
  <c r="I6"/>
  <c r="D29" l="1"/>
  <c r="K8" i="13" s="1"/>
  <c r="Q8" s="1"/>
  <c r="Q17" s="1"/>
  <c r="I24" i="8"/>
  <c r="D8" i="13" s="1"/>
  <c r="F8" s="1"/>
  <c r="D30" i="8"/>
  <c r="L8" i="13" s="1"/>
  <c r="R8" s="1"/>
  <c r="R17" s="1"/>
  <c r="O6" i="4"/>
  <c r="D32" i="8" l="1"/>
  <c r="H8" i="13"/>
  <c r="N8" s="1"/>
  <c r="N17" s="1"/>
  <c r="P44" i="5" l="1"/>
  <c r="O44" i="4"/>
  <c r="O39" i="1" l="1"/>
</calcChain>
</file>

<file path=xl/sharedStrings.xml><?xml version="1.0" encoding="utf-8"?>
<sst xmlns="http://schemas.openxmlformats.org/spreadsheetml/2006/main" count="3269" uniqueCount="520">
  <si>
    <t>Item</t>
  </si>
  <si>
    <t>Quantity</t>
  </si>
  <si>
    <t>Reference</t>
  </si>
  <si>
    <t>Part</t>
  </si>
  <si>
    <t>DE05001</t>
  </si>
  <si>
    <t>BD1</t>
  </si>
  <si>
    <t>B10S</t>
  </si>
  <si>
    <t>MD6S_4P</t>
  </si>
  <si>
    <t>CP04022</t>
  </si>
  <si>
    <t>CP1,CP2</t>
  </si>
  <si>
    <t>22uF/250V</t>
  </si>
  <si>
    <t>CAP_EL_22_5_SL</t>
  </si>
  <si>
    <t>CP04007</t>
  </si>
  <si>
    <t>C1,C6,C7</t>
  </si>
  <si>
    <t>103/1000V</t>
  </si>
  <si>
    <t>CAP_DISC_200</t>
  </si>
  <si>
    <t>RS01047</t>
  </si>
  <si>
    <t>C3</t>
  </si>
  <si>
    <t>C0805</t>
  </si>
  <si>
    <t>RS01006</t>
  </si>
  <si>
    <t>C4</t>
  </si>
  <si>
    <t>RS01091</t>
  </si>
  <si>
    <t>C5</t>
  </si>
  <si>
    <t>CP04004</t>
  </si>
  <si>
    <t>C8</t>
  </si>
  <si>
    <t>P2G102K</t>
  </si>
  <si>
    <t>CAP_CER_2P_8MM</t>
  </si>
  <si>
    <t>DE05013</t>
  </si>
  <si>
    <t>D1</t>
  </si>
  <si>
    <t>MUR460</t>
  </si>
  <si>
    <t>DI_550_SR3100</t>
  </si>
  <si>
    <t>DE05006</t>
  </si>
  <si>
    <t>D2,D3,D4</t>
  </si>
  <si>
    <t>SMA</t>
  </si>
  <si>
    <t>IN08003</t>
  </si>
  <si>
    <t>L4</t>
  </si>
  <si>
    <t>3mH</t>
  </si>
  <si>
    <t>IND_5MM_TH</t>
  </si>
  <si>
    <t>MOV11005</t>
  </si>
  <si>
    <t>MOV1</t>
  </si>
  <si>
    <t>10D471K</t>
  </si>
  <si>
    <t>RES_2W</t>
  </si>
  <si>
    <t>MF02004</t>
  </si>
  <si>
    <t>Q1</t>
  </si>
  <si>
    <t>H4N60</t>
  </si>
  <si>
    <t>TO_220_AB_HOR</t>
  </si>
  <si>
    <t>RS01009</t>
  </si>
  <si>
    <t>R1</t>
  </si>
  <si>
    <t>0R</t>
  </si>
  <si>
    <t>R0805</t>
  </si>
  <si>
    <t>RS01010</t>
  </si>
  <si>
    <t>R2</t>
  </si>
  <si>
    <t>1E</t>
  </si>
  <si>
    <t>R1206</t>
  </si>
  <si>
    <t>RS01092</t>
  </si>
  <si>
    <t>R4</t>
  </si>
  <si>
    <t>50K</t>
  </si>
  <si>
    <t>R0603</t>
  </si>
  <si>
    <t>RS01007</t>
  </si>
  <si>
    <t>R6</t>
  </si>
  <si>
    <t>100K</t>
  </si>
  <si>
    <t>RS01093</t>
  </si>
  <si>
    <t>R7</t>
  </si>
  <si>
    <t>680K</t>
  </si>
  <si>
    <t>RS01005</t>
  </si>
  <si>
    <t>R8</t>
  </si>
  <si>
    <t>10E</t>
  </si>
  <si>
    <t>RS01094</t>
  </si>
  <si>
    <t>R10</t>
  </si>
  <si>
    <t>RS01095</t>
  </si>
  <si>
    <t>R11</t>
  </si>
  <si>
    <t>1K</t>
  </si>
  <si>
    <t>RS01046</t>
  </si>
  <si>
    <t>R12</t>
  </si>
  <si>
    <t>430E</t>
  </si>
  <si>
    <t>DE05014</t>
  </si>
  <si>
    <t>10K</t>
  </si>
  <si>
    <t>TRIMMER</t>
  </si>
  <si>
    <t>RS01096</t>
  </si>
  <si>
    <t>R3</t>
  </si>
  <si>
    <t>0.68E</t>
  </si>
  <si>
    <t>PCB09036</t>
  </si>
  <si>
    <t>PCB</t>
  </si>
  <si>
    <t>IC15001</t>
  </si>
  <si>
    <t>U1</t>
  </si>
  <si>
    <t>SM3300</t>
  </si>
  <si>
    <t>10%</t>
  </si>
  <si>
    <t>C1</t>
  </si>
  <si>
    <t/>
  </si>
  <si>
    <t>100P</t>
  </si>
  <si>
    <t>5%</t>
  </si>
  <si>
    <t>RS01080</t>
  </si>
  <si>
    <t>JMY</t>
  </si>
  <si>
    <t>RS01012</t>
  </si>
  <si>
    <t>103, 1KVA</t>
  </si>
  <si>
    <t>C6</t>
  </si>
  <si>
    <t>CAP_TH</t>
  </si>
  <si>
    <t>C7</t>
  </si>
  <si>
    <t>NC</t>
  </si>
  <si>
    <t>220nF/630V</t>
  </si>
  <si>
    <t>C9</t>
  </si>
  <si>
    <t>CP04023</t>
  </si>
  <si>
    <t>CP1</t>
  </si>
  <si>
    <t>CP04024</t>
  </si>
  <si>
    <t>CP2</t>
  </si>
  <si>
    <t>SS4007</t>
  </si>
  <si>
    <t>D2</t>
  </si>
  <si>
    <t>D3</t>
  </si>
  <si>
    <t>D4</t>
  </si>
  <si>
    <t>1A, 250V</t>
  </si>
  <si>
    <t>F1</t>
  </si>
  <si>
    <t>FUSE_2P_6MM</t>
  </si>
  <si>
    <t>DE05015</t>
  </si>
  <si>
    <t>1mH</t>
  </si>
  <si>
    <t>L5</t>
  </si>
  <si>
    <t>R_400</t>
  </si>
  <si>
    <t>IN08002</t>
  </si>
  <si>
    <t>L6</t>
  </si>
  <si>
    <t>L7</t>
  </si>
  <si>
    <t>14D471K</t>
  </si>
  <si>
    <t>MOV11003</t>
  </si>
  <si>
    <t>1R100</t>
  </si>
  <si>
    <t>1%</t>
  </si>
  <si>
    <t>RS01106</t>
  </si>
  <si>
    <t>1R300</t>
  </si>
  <si>
    <t>RS01090</t>
  </si>
  <si>
    <t>333K</t>
  </si>
  <si>
    <t>174KE</t>
  </si>
  <si>
    <t>RS01030</t>
  </si>
  <si>
    <t>7.5k</t>
  </si>
  <si>
    <t>R13</t>
  </si>
  <si>
    <t>R14</t>
  </si>
  <si>
    <t>RES_1W</t>
  </si>
  <si>
    <t>1</t>
  </si>
  <si>
    <t>NTC</t>
  </si>
  <si>
    <t>RT1</t>
  </si>
  <si>
    <t>SO8</t>
  </si>
  <si>
    <t>PCB09035</t>
  </si>
  <si>
    <t>Product Code</t>
  </si>
  <si>
    <t>Raw Material Code</t>
  </si>
  <si>
    <t>Package</t>
  </si>
  <si>
    <t>Tolerence</t>
  </si>
  <si>
    <t>Make</t>
  </si>
  <si>
    <t>Vendor</t>
  </si>
  <si>
    <t>PRICE</t>
  </si>
  <si>
    <t>B10S-G(1000V 1A)</t>
  </si>
  <si>
    <t>TO-269AA</t>
  </si>
  <si>
    <t>GOODARC,MIC,HY</t>
  </si>
  <si>
    <t>HICOTRONICS,MIC,SAINI</t>
  </si>
  <si>
    <t>103/1KVA</t>
  </si>
  <si>
    <t>HEL / JACKCON/GUJARAT POLY AVX</t>
  </si>
  <si>
    <t>SAINI,HICOTRONICS,GUJARAT POLY AVX</t>
  </si>
  <si>
    <t>100P/50V</t>
  </si>
  <si>
    <t>YAGEO,AVX,KEMET</t>
  </si>
  <si>
    <t>1uF/50V</t>
  </si>
  <si>
    <t>100nF/50V</t>
  </si>
  <si>
    <t>P2G102K(275VAC)</t>
  </si>
  <si>
    <t>PEIR MYLAR CAP</t>
  </si>
  <si>
    <t xml:space="preserve"> PIA</t>
  </si>
  <si>
    <t>SREE ELECTRONICS,TEXTONIC</t>
  </si>
  <si>
    <t>22uF/250V(105)</t>
  </si>
  <si>
    <t>(10mm*17mm)</t>
  </si>
  <si>
    <t>JACKCON,SAMHWA</t>
  </si>
  <si>
    <t xml:space="preserve">SAINI ,TEXONICS </t>
  </si>
  <si>
    <t>DO-201AD</t>
  </si>
  <si>
    <t>SS4007(1000V 1A)</t>
  </si>
  <si>
    <t>1A, 250V(SLOW BLOW)</t>
  </si>
  <si>
    <t>(3.6mm*10mm)</t>
  </si>
  <si>
    <t>UCHI/PROTECTRON</t>
  </si>
  <si>
    <t>SAINI,PUNITH ELECTRONICS</t>
  </si>
  <si>
    <t>3mH (700mA)MTX3MH</t>
  </si>
  <si>
    <t>EE16 VERTICAL</t>
  </si>
  <si>
    <t>METRONIX</t>
  </si>
  <si>
    <t>10mm</t>
  </si>
  <si>
    <t>EPCOS/UCHI/HEL</t>
  </si>
  <si>
    <t>HICOTRONICS,SAINI</t>
  </si>
  <si>
    <t>POT1</t>
  </si>
  <si>
    <t>TO-220 METAL</t>
  </si>
  <si>
    <t>FAIRCHILD ,HY ,SEM</t>
  </si>
  <si>
    <t>SAINI,SEM</t>
  </si>
  <si>
    <t>YAGEO,ROYALOHM ,UNIOHAM</t>
  </si>
  <si>
    <t>HICOTRONICS,GUJARAT POLY AVX,ELECTRONICA</t>
  </si>
  <si>
    <t>R5</t>
  </si>
  <si>
    <t>SHORT</t>
  </si>
  <si>
    <t xml:space="preserve">SEMTRONICS </t>
  </si>
  <si>
    <t>SEM</t>
  </si>
  <si>
    <t>PCB VER 5.4</t>
  </si>
  <si>
    <t>(17mm*150mm)</t>
  </si>
  <si>
    <t>UNIVERSAL</t>
  </si>
  <si>
    <t>Total Electronics Cost</t>
  </si>
  <si>
    <t>DR13060</t>
  </si>
  <si>
    <t>Product Description - TUBE LIGHT 5.8 VER</t>
  </si>
  <si>
    <t>RS01130</t>
  </si>
  <si>
    <t>RS01131</t>
  </si>
  <si>
    <t>RS01107</t>
  </si>
  <si>
    <t>RS01132</t>
  </si>
  <si>
    <t>EMS COST</t>
  </si>
  <si>
    <t>EMADS</t>
  </si>
  <si>
    <t>DR13021</t>
  </si>
  <si>
    <t>EFLIP CHIP</t>
  </si>
  <si>
    <t>DR13081</t>
  </si>
  <si>
    <t>Product Description - 45V 700mA (17~30W Compatible) TL 5.13 VER</t>
  </si>
  <si>
    <t>B10S-G(1000V  1A)</t>
  </si>
  <si>
    <t>CBB22-224J</t>
  </si>
  <si>
    <t>D0-201AD</t>
  </si>
  <si>
    <t>CR18007</t>
  </si>
  <si>
    <t>IN08014</t>
  </si>
  <si>
    <t>L4,L8</t>
  </si>
  <si>
    <t>2.4mH(600mA)</t>
  </si>
  <si>
    <t xml:space="preserve">EE16 VERTICAL </t>
  </si>
  <si>
    <t>L5,L6,</t>
  </si>
  <si>
    <t>5mm*10.5mm</t>
  </si>
  <si>
    <t>L7(OVER LAP)</t>
  </si>
  <si>
    <t>14mm</t>
  </si>
  <si>
    <t>H4N65</t>
  </si>
  <si>
    <t>TO-252</t>
  </si>
  <si>
    <t>RS01172</t>
  </si>
  <si>
    <t>RS01173</t>
  </si>
  <si>
    <t>R680</t>
  </si>
  <si>
    <t>RS01174</t>
  </si>
  <si>
    <t>RS01110</t>
  </si>
  <si>
    <t>RS01175</t>
  </si>
  <si>
    <t>510K</t>
  </si>
  <si>
    <t>RS01176</t>
  </si>
  <si>
    <t>RS01177</t>
  </si>
  <si>
    <t>RS01178</t>
  </si>
  <si>
    <t>RS01179</t>
  </si>
  <si>
    <t>1/2W AXIAL</t>
  </si>
  <si>
    <t>AVX,YAGEO</t>
  </si>
  <si>
    <t>THM11010</t>
  </si>
  <si>
    <t>SEMTRONICS</t>
  </si>
  <si>
    <t>PCB09073</t>
  </si>
  <si>
    <t>VER  TL  5.13</t>
  </si>
  <si>
    <t>(18mm*299mm)</t>
  </si>
  <si>
    <t>UNIVERSAL CIRCUTS</t>
  </si>
  <si>
    <t>FLIP CHIP</t>
  </si>
  <si>
    <t>1N4007</t>
  </si>
  <si>
    <t>22uF/50V  (105)</t>
  </si>
  <si>
    <t>47pF/50V</t>
  </si>
  <si>
    <t>1uF/50V 105deg</t>
  </si>
  <si>
    <t>220uF,63V  (105)</t>
  </si>
  <si>
    <t>MOV (14D471K)</t>
  </si>
  <si>
    <t>47nF/275VAC</t>
  </si>
  <si>
    <t xml:space="preserve">2.2nF  275VAC </t>
  </si>
  <si>
    <t>UF4007</t>
  </si>
  <si>
    <t>1mH(300mA)</t>
  </si>
  <si>
    <t>4N60T</t>
  </si>
  <si>
    <t>150K</t>
  </si>
  <si>
    <t>68E</t>
  </si>
  <si>
    <t>56K</t>
  </si>
  <si>
    <t>1R400</t>
  </si>
  <si>
    <t>EF20 H</t>
  </si>
  <si>
    <t>SM6300B</t>
  </si>
  <si>
    <t>VER DL ES 02</t>
  </si>
  <si>
    <t>HS1</t>
  </si>
  <si>
    <t>D1,D2,D3,D4</t>
  </si>
  <si>
    <t>C2,C10</t>
  </si>
  <si>
    <t>RV1,RV2</t>
  </si>
  <si>
    <t>D7</t>
  </si>
  <si>
    <t>D5</t>
  </si>
  <si>
    <t>D6</t>
  </si>
  <si>
    <t>L1,L2</t>
  </si>
  <si>
    <t>R1,R2</t>
  </si>
  <si>
    <t>R9</t>
  </si>
  <si>
    <t>T1</t>
  </si>
  <si>
    <t>DO-41</t>
  </si>
  <si>
    <t>DISC 5mm pitch</t>
  </si>
  <si>
    <t>(5mm*11mm)TH 2.5MM pitch</t>
  </si>
  <si>
    <t>C1206</t>
  </si>
  <si>
    <t>4.6mm*10mm (2.5mm pitch)</t>
  </si>
  <si>
    <t>(10mm*17mm) 5mm pitch</t>
  </si>
  <si>
    <t>14mm(TH) 7mm pitch</t>
  </si>
  <si>
    <t>(13mmL*4mmW*8.5mmH) 10mm pitch</t>
  </si>
  <si>
    <t>DISC 7.5mm pitch</t>
  </si>
  <si>
    <t>D0-41</t>
  </si>
  <si>
    <t>(8*10)drum type 5mm pitch</t>
  </si>
  <si>
    <t>TO_220</t>
  </si>
  <si>
    <t>1/4W</t>
  </si>
  <si>
    <t>1/2W</t>
  </si>
  <si>
    <t>MT-11448</t>
  </si>
  <si>
    <t>SOP8</t>
  </si>
  <si>
    <t>34mm*82mm</t>
  </si>
  <si>
    <t>DIODE/HY/VISHAY</t>
  </si>
  <si>
    <t>YAGEO,AVX,WALSIN</t>
  </si>
  <si>
    <t>JACKCON/SAMHWA</t>
  </si>
  <si>
    <t>EPCOS,UCHI</t>
  </si>
  <si>
    <t>HEL,EPCOS,ETR</t>
  </si>
  <si>
    <t>DIODE INC,HY,MIC</t>
  </si>
  <si>
    <t xml:space="preserve">ON SEMI ,HY,DIODE INC  </t>
  </si>
  <si>
    <t>PROTOCON</t>
  </si>
  <si>
    <t>FAIRCHILD,HY</t>
  </si>
  <si>
    <t>METRONICS</t>
  </si>
  <si>
    <t>HICOTRONICS</t>
  </si>
  <si>
    <t>SUNMICRO COMPONENTS</t>
  </si>
  <si>
    <t>L S I COMPONENTS</t>
  </si>
  <si>
    <t>3.15A  250V(SLOW  BLOW)</t>
  </si>
  <si>
    <t>M3 X 6</t>
  </si>
  <si>
    <t>SCREW</t>
  </si>
  <si>
    <t>220uF,50V 105 deg</t>
  </si>
  <si>
    <t>51K</t>
  </si>
  <si>
    <t>7.5K</t>
  </si>
  <si>
    <t>120K</t>
  </si>
  <si>
    <t>MT-10031</t>
  </si>
  <si>
    <t>DR13093</t>
  </si>
  <si>
    <t>DR13094</t>
  </si>
  <si>
    <t>DR13092</t>
  </si>
  <si>
    <t>470uF,50V 105 deg</t>
  </si>
  <si>
    <t>22nF/275VAC</t>
  </si>
  <si>
    <t>ES2J</t>
  </si>
  <si>
    <t>2N60</t>
  </si>
  <si>
    <t>1R690</t>
  </si>
  <si>
    <t>1R600</t>
  </si>
  <si>
    <t>MT-15947</t>
  </si>
  <si>
    <t>PLASTIC BOX</t>
  </si>
  <si>
    <t>BIG SIZE</t>
  </si>
  <si>
    <t>VANSH ELECTRO MACHINACAL</t>
  </si>
  <si>
    <t xml:space="preserve">MAHAVEER </t>
  </si>
  <si>
    <t>DE05008</t>
  </si>
  <si>
    <t>CP04014</t>
  </si>
  <si>
    <t>CP04034</t>
  </si>
  <si>
    <t>CP04061</t>
  </si>
  <si>
    <t>CP04026</t>
  </si>
  <si>
    <t>CP04027</t>
  </si>
  <si>
    <t>DE05024</t>
  </si>
  <si>
    <t>IN08022</t>
  </si>
  <si>
    <t>RS01187</t>
  </si>
  <si>
    <t>RS01181</t>
  </si>
  <si>
    <t>RS01188</t>
  </si>
  <si>
    <t>RS01189</t>
  </si>
  <si>
    <t>RS01018</t>
  </si>
  <si>
    <t>RS01182</t>
  </si>
  <si>
    <t>RS01026</t>
  </si>
  <si>
    <t>IN08025</t>
  </si>
  <si>
    <t>IC15015</t>
  </si>
  <si>
    <t>PCB09075</t>
  </si>
  <si>
    <t>HS03003</t>
  </si>
  <si>
    <t>WR12004</t>
  </si>
  <si>
    <t>WR12005</t>
  </si>
  <si>
    <t>RS01183</t>
  </si>
  <si>
    <t>RS01190</t>
  </si>
  <si>
    <t>RS01184</t>
  </si>
  <si>
    <t>IN08008</t>
  </si>
  <si>
    <t>CP04035</t>
  </si>
  <si>
    <t>CP04063</t>
  </si>
  <si>
    <t>RS01185</t>
  </si>
  <si>
    <t>EE16 H</t>
  </si>
  <si>
    <t>IN08015</t>
  </si>
  <si>
    <t>STOCK</t>
  </si>
  <si>
    <t>BAR CODE STICKER</t>
  </si>
  <si>
    <t>EQ10069</t>
  </si>
  <si>
    <t xml:space="preserve"> LABLE STICKER</t>
  </si>
  <si>
    <t>EQ10070</t>
  </si>
  <si>
    <t>ES07043</t>
  </si>
  <si>
    <t>EQ10045</t>
  </si>
  <si>
    <t>PVC</t>
  </si>
  <si>
    <t>3 INCH PVC WIRE RED</t>
  </si>
  <si>
    <t>3 INCH PVC WIRE BLACK</t>
  </si>
  <si>
    <t>49.9K</t>
  </si>
  <si>
    <t>1uF/50</t>
  </si>
  <si>
    <t>1/4 WATT</t>
  </si>
  <si>
    <t>SUPPLIER NAME</t>
  </si>
  <si>
    <t>PAYMENT TERMS</t>
  </si>
  <si>
    <t>60DAYS CREDIT</t>
  </si>
  <si>
    <t>SUN MICRO COMPONENTS</t>
  </si>
  <si>
    <t>SHREE ELECTRONICS</t>
  </si>
  <si>
    <t>60DAYS PDC</t>
  </si>
  <si>
    <t>90 DAYS CREDIT</t>
  </si>
  <si>
    <t>IMMEDIATE</t>
  </si>
  <si>
    <t>60DAYS</t>
  </si>
  <si>
    <t>60 DAYS</t>
  </si>
  <si>
    <t>60 DAYS CREDIT</t>
  </si>
  <si>
    <t>SUN MICRO COMPONENT</t>
  </si>
  <si>
    <t>GTEK ELECTRO</t>
  </si>
  <si>
    <t>30 DAYS PDC</t>
  </si>
  <si>
    <t>2M2</t>
  </si>
  <si>
    <t xml:space="preserve">60 DAYS PDC </t>
  </si>
  <si>
    <t>UNIVERSAL / IEQS</t>
  </si>
  <si>
    <t xml:space="preserve">LSI </t>
  </si>
  <si>
    <t>DURGA TRADING</t>
  </si>
  <si>
    <t>VANSH ELECTRO</t>
  </si>
  <si>
    <t>15 DAYS PDC</t>
  </si>
  <si>
    <t>LOCAL</t>
  </si>
  <si>
    <t>SUN MICRO</t>
  </si>
  <si>
    <t>G TEK ELECTRO</t>
  </si>
  <si>
    <t>60 DAYS PDC CREDIT</t>
  </si>
  <si>
    <t>AM ELECTRONICS</t>
  </si>
  <si>
    <t>30 DAYS CREDIT</t>
  </si>
  <si>
    <t>LSI COMP</t>
  </si>
  <si>
    <t>15 DAYS CREDIT</t>
  </si>
  <si>
    <t>MIC</t>
  </si>
  <si>
    <t>Product Description - 10-15 WATT 450mA</t>
  </si>
  <si>
    <t>Product Description - 5-9 WATT 350mA</t>
  </si>
  <si>
    <t>0.1uF 275V AC</t>
  </si>
  <si>
    <t>EPCOS</t>
  </si>
  <si>
    <t>BOX 110mmx42mmx27mm</t>
  </si>
  <si>
    <t>PLASTIC BOX BIG SIZE</t>
  </si>
  <si>
    <t>PH screw M3x8mm</t>
  </si>
  <si>
    <t>metal</t>
  </si>
  <si>
    <t>Product Description - 15-20 WATT 300mA</t>
  </si>
  <si>
    <t>0.1uF  275V AC</t>
  </si>
  <si>
    <t xml:space="preserve">   X2 BOX CAP         (10mm pitch)</t>
  </si>
  <si>
    <t>CP04043</t>
  </si>
  <si>
    <t>DR13091</t>
  </si>
  <si>
    <t>Item Number</t>
  </si>
  <si>
    <t>Value</t>
  </si>
  <si>
    <t>Part Reference</t>
  </si>
  <si>
    <t>DISCRIPTION</t>
  </si>
  <si>
    <t xml:space="preserve">MAKE </t>
  </si>
  <si>
    <t>UNIT COST</t>
  </si>
  <si>
    <t>TOTAL</t>
  </si>
  <si>
    <t>VENDORE NAME</t>
  </si>
  <si>
    <t>LEAD TIME</t>
  </si>
  <si>
    <t>CP04059</t>
  </si>
  <si>
    <t>4.7uF/450V  (105 C)</t>
  </si>
  <si>
    <t>(10*15)</t>
  </si>
  <si>
    <t>BERYL/JAYE/KOSHIN</t>
  </si>
  <si>
    <t>1-2 WEEK</t>
  </si>
  <si>
    <t>CP04062</t>
  </si>
  <si>
    <t>680nF/50V</t>
  </si>
  <si>
    <t>C2</t>
  </si>
  <si>
    <t>YAGEO/AVX</t>
  </si>
  <si>
    <t>1 WEEK</t>
  </si>
  <si>
    <t>DB1</t>
  </si>
  <si>
    <t>DIODE/MIC/ONSEMI</t>
  </si>
  <si>
    <t>DE05025</t>
  </si>
  <si>
    <t>US1D</t>
  </si>
  <si>
    <t>RS01191</t>
  </si>
  <si>
    <t>1M</t>
  </si>
  <si>
    <t>YAGEO/ROYAL OHM</t>
  </si>
  <si>
    <t>RS01193</t>
  </si>
  <si>
    <t>12E</t>
  </si>
  <si>
    <t>1R69</t>
  </si>
  <si>
    <t>RS01192</t>
  </si>
  <si>
    <t>20K</t>
  </si>
  <si>
    <t>IN08021</t>
  </si>
  <si>
    <t>EE13  H</t>
  </si>
  <si>
    <t>IC15016</t>
  </si>
  <si>
    <t>SM2601A</t>
  </si>
  <si>
    <t>CP04015</t>
  </si>
  <si>
    <t>100uF/25V  (105C)</t>
  </si>
  <si>
    <t>V-C2</t>
  </si>
  <si>
    <t>6.3x11.2mm LS2.5mm</t>
  </si>
  <si>
    <t>PCB09080</t>
  </si>
  <si>
    <t>PCB  EE13</t>
  </si>
  <si>
    <t>ES07042</t>
  </si>
  <si>
    <t>SMALL SIZE PLASTIC BOX 3 WATT</t>
  </si>
  <si>
    <t>VANCH</t>
  </si>
  <si>
    <t>WR12002</t>
  </si>
  <si>
    <t>V+,L,N</t>
  </si>
  <si>
    <t>2.5 INCH</t>
  </si>
  <si>
    <t xml:space="preserve">PVC </t>
  </si>
  <si>
    <t>WR12001</t>
  </si>
  <si>
    <t xml:space="preserve">V- </t>
  </si>
  <si>
    <t>1.6E</t>
  </si>
  <si>
    <t>1-5W  300mA</t>
  </si>
  <si>
    <t>DR13089</t>
  </si>
  <si>
    <t>Product Description - 15-20 WATT 350mA</t>
  </si>
  <si>
    <t>100nF 305V AC</t>
  </si>
  <si>
    <t>4N80T</t>
  </si>
  <si>
    <t>82K</t>
  </si>
  <si>
    <t>CP04064</t>
  </si>
  <si>
    <t>MF02009</t>
  </si>
  <si>
    <t>RS01194</t>
  </si>
  <si>
    <t>68K</t>
  </si>
  <si>
    <t>RS01195</t>
  </si>
  <si>
    <t>Product Description - 10-17 WATT 300mA</t>
  </si>
  <si>
    <t>DR13098</t>
  </si>
  <si>
    <t>DR13097</t>
  </si>
  <si>
    <t>DR13099</t>
  </si>
  <si>
    <t>Product Description - 10-15 WATT 350mA</t>
  </si>
  <si>
    <t>Unit Cost</t>
  </si>
  <si>
    <t>TOTAL COST</t>
  </si>
  <si>
    <t>MOV11006</t>
  </si>
  <si>
    <t>7D471K(300/7)</t>
  </si>
  <si>
    <t>L,N</t>
  </si>
  <si>
    <t>10 MM</t>
  </si>
  <si>
    <t>Total</t>
  </si>
  <si>
    <t>EAST INDIA</t>
  </si>
  <si>
    <t>RS01186</t>
  </si>
  <si>
    <t>1-5W  350mA</t>
  </si>
  <si>
    <t>F-15W 450mA   (22V -- 28V  450mA)  Driver BOM list(12W Nichia Sqr PCB &amp; Taiwan both Sqr &amp; Round PCB)</t>
  </si>
  <si>
    <t>F-5W 350mA (5-9W)  Driver BOM list   (9W Nichia Leds Load  Sqr and Round )</t>
  </si>
  <si>
    <t>E  -  10W -- 17W&lt;= (30V -- 50V  300mA) Driver BOM list</t>
  </si>
  <si>
    <t xml:space="preserve">E-  10W -- 15W&lt;= (30V -- 45V  350mA) Driver BOM list </t>
  </si>
  <si>
    <t xml:space="preserve">F 15W  300mA  10W -- 15W&lt;= (30V -- 45V  300mA) Driver BOM list </t>
  </si>
  <si>
    <t xml:space="preserve">  M-15W -- 20W (45V -- 60V  350mA) Driver BOM list </t>
  </si>
  <si>
    <t>Description</t>
  </si>
  <si>
    <t xml:space="preserve">BOM </t>
  </si>
  <si>
    <t>Volume</t>
  </si>
  <si>
    <t>Total Value</t>
  </si>
  <si>
    <t>30 Days</t>
  </si>
  <si>
    <t>T/T</t>
  </si>
  <si>
    <t>7 Days</t>
  </si>
  <si>
    <t>15 Days</t>
  </si>
  <si>
    <t>60 Days</t>
  </si>
  <si>
    <t>90 Days</t>
  </si>
  <si>
    <t>Payment Plan</t>
  </si>
  <si>
    <t>Bill Of Materials - 80V 220mA (18~22W Compatible)TUBE LIGHT 5.4 VER</t>
  </si>
  <si>
    <t>Ver 5.4 T8 Driver</t>
  </si>
  <si>
    <t>Ver 5.8 T8 Driver</t>
  </si>
  <si>
    <t>Ver 5.13 T8 Driver</t>
  </si>
  <si>
    <t>1-5W 300mA</t>
  </si>
  <si>
    <t>1-5W 350mA</t>
  </si>
  <si>
    <t>5-9W 350mA</t>
  </si>
  <si>
    <t>10-17W 300mA</t>
  </si>
  <si>
    <t>10-15W 350mA</t>
  </si>
  <si>
    <t>10-15W 450mA</t>
  </si>
  <si>
    <t>15-20W 300mA</t>
  </si>
  <si>
    <t>15-20W 350mA</t>
  </si>
  <si>
    <t xml:space="preserve">T/T </t>
  </si>
  <si>
    <t>Edit only Volumes column</t>
  </si>
  <si>
    <t>shortage for 5k kit</t>
  </si>
  <si>
    <t>90 DAYS</t>
  </si>
  <si>
    <t>Qty</t>
  </si>
  <si>
    <t>Kitting Quantity</t>
  </si>
  <si>
    <t>BOM Value Split</t>
  </si>
  <si>
    <t>Total Kitting Value Split</t>
  </si>
  <si>
    <t>Interim Value</t>
  </si>
  <si>
    <t>Kitting Value Split</t>
  </si>
  <si>
    <t>Interim Value2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</si>
</sst>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[$INR]\ * #,##0.00_);_([$INR]\ * \(#,##0.00\);_([$INR]\ * &quot;-&quot;??_);_(@_)"/>
    <numFmt numFmtId="165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" fontId="0" fillId="0" borderId="4" xfId="0" applyNumberFormat="1" applyFill="1" applyBorder="1" applyAlignment="1">
      <alignment horizontal="center"/>
    </xf>
    <xf numFmtId="49" fontId="0" fillId="0" borderId="4" xfId="0" applyNumberForma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5" fillId="5" borderId="4" xfId="0" applyFon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/>
    </xf>
    <xf numFmtId="49" fontId="5" fillId="5" borderId="4" xfId="0" applyNumberFormat="1" applyFont="1" applyFill="1" applyBorder="1" applyAlignment="1">
      <alignment horizontal="center"/>
    </xf>
    <xf numFmtId="49" fontId="5" fillId="5" borderId="4" xfId="0" applyNumberFormat="1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/>
    </xf>
    <xf numFmtId="1" fontId="5" fillId="7" borderId="4" xfId="0" applyNumberFormat="1" applyFont="1" applyFill="1" applyBorder="1" applyAlignment="1">
      <alignment horizontal="center"/>
    </xf>
    <xf numFmtId="49" fontId="5" fillId="7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49" fontId="5" fillId="8" borderId="4" xfId="0" applyNumberFormat="1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0" fillId="0" borderId="14" xfId="0" applyBorder="1" applyAlignment="1"/>
    <xf numFmtId="0" fontId="0" fillId="0" borderId="16" xfId="0" applyBorder="1" applyAlignment="1"/>
    <xf numFmtId="0" fontId="6" fillId="5" borderId="0" xfId="0" applyFont="1" applyFill="1" applyAlignment="1">
      <alignment horizontal="center"/>
    </xf>
    <xf numFmtId="1" fontId="0" fillId="0" borderId="4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4" xfId="0" applyNumberFormat="1" applyBorder="1"/>
    <xf numFmtId="0" fontId="3" fillId="5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" fontId="0" fillId="5" borderId="4" xfId="0" applyNumberFormat="1" applyFill="1" applyBorder="1" applyAlignment="1">
      <alignment horizontal="center"/>
    </xf>
    <xf numFmtId="49" fontId="0" fillId="5" borderId="4" xfId="0" applyNumberFormat="1" applyFill="1" applyBorder="1" applyAlignment="1">
      <alignment horizontal="center"/>
    </xf>
    <xf numFmtId="49" fontId="0" fillId="5" borderId="4" xfId="0" applyNumberFormat="1" applyFill="1" applyBorder="1"/>
    <xf numFmtId="0" fontId="5" fillId="5" borderId="4" xfId="0" applyFont="1" applyFill="1" applyBorder="1"/>
    <xf numFmtId="0" fontId="8" fillId="5" borderId="4" xfId="0" applyFont="1" applyFill="1" applyBorder="1" applyAlignment="1">
      <alignment horizontal="center"/>
    </xf>
    <xf numFmtId="1" fontId="8" fillId="0" borderId="4" xfId="0" applyNumberFormat="1" applyFont="1" applyFill="1" applyBorder="1" applyAlignment="1">
      <alignment horizontal="center"/>
    </xf>
    <xf numFmtId="49" fontId="8" fillId="5" borderId="4" xfId="0" applyNumberFormat="1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1" fontId="8" fillId="0" borderId="15" xfId="0" applyNumberFormat="1" applyFont="1" applyFill="1" applyBorder="1" applyAlignment="1">
      <alignment horizontal="center"/>
    </xf>
    <xf numFmtId="49" fontId="8" fillId="5" borderId="15" xfId="0" applyNumberFormat="1" applyFont="1" applyFill="1" applyBorder="1" applyAlignment="1">
      <alignment horizontal="center"/>
    </xf>
    <xf numFmtId="49" fontId="8" fillId="0" borderId="15" xfId="0" applyNumberFormat="1" applyFont="1" applyFill="1" applyBorder="1" applyAlignment="1">
      <alignment horizontal="left"/>
    </xf>
    <xf numFmtId="0" fontId="0" fillId="0" borderId="4" xfId="0" applyBorder="1" applyAlignment="1"/>
    <xf numFmtId="49" fontId="0" fillId="0" borderId="4" xfId="0" applyNumberFormat="1" applyBorder="1" applyAlignment="1"/>
    <xf numFmtId="0" fontId="5" fillId="5" borderId="0" xfId="0" applyFont="1" applyFill="1" applyAlignment="1"/>
    <xf numFmtId="0" fontId="6" fillId="5" borderId="0" xfId="0" applyFont="1" applyFill="1" applyAlignment="1"/>
    <xf numFmtId="0" fontId="0" fillId="5" borderId="4" xfId="0" applyFill="1" applyBorder="1" applyAlignment="1"/>
    <xf numFmtId="0" fontId="6" fillId="6" borderId="0" xfId="0" applyFont="1" applyFill="1" applyAlignment="1"/>
    <xf numFmtId="49" fontId="7" fillId="0" borderId="4" xfId="0" applyNumberFormat="1" applyFont="1" applyBorder="1" applyAlignment="1"/>
    <xf numFmtId="49" fontId="0" fillId="5" borderId="4" xfId="0" applyNumberFormat="1" applyFill="1" applyBorder="1" applyAlignment="1"/>
    <xf numFmtId="0" fontId="8" fillId="5" borderId="15" xfId="1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wrapText="1"/>
    </xf>
    <xf numFmtId="49" fontId="10" fillId="0" borderId="4" xfId="0" applyNumberFormat="1" applyFont="1" applyBorder="1" applyAlignment="1">
      <alignment horizontal="center"/>
    </xf>
    <xf numFmtId="2" fontId="0" fillId="0" borderId="4" xfId="2" applyNumberFormat="1" applyFont="1" applyBorder="1" applyAlignment="1">
      <alignment horizontal="center"/>
    </xf>
    <xf numFmtId="2" fontId="0" fillId="5" borderId="4" xfId="2" applyNumberFormat="1" applyFont="1" applyFill="1" applyBorder="1" applyAlignment="1">
      <alignment horizontal="center"/>
    </xf>
    <xf numFmtId="0" fontId="8" fillId="5" borderId="4" xfId="0" applyFont="1" applyFill="1" applyBorder="1" applyAlignment="1"/>
    <xf numFmtId="1" fontId="9" fillId="5" borderId="4" xfId="0" applyNumberFormat="1" applyFont="1" applyFill="1" applyBorder="1" applyAlignment="1">
      <alignment horizontal="center"/>
    </xf>
    <xf numFmtId="49" fontId="9" fillId="5" borderId="4" xfId="0" applyNumberFormat="1" applyFont="1" applyFill="1" applyBorder="1" applyAlignment="1">
      <alignment horizontal="center"/>
    </xf>
    <xf numFmtId="49" fontId="9" fillId="5" borderId="4" xfId="0" applyNumberFormat="1" applyFont="1" applyFill="1" applyBorder="1" applyAlignment="1"/>
    <xf numFmtId="0" fontId="9" fillId="5" borderId="4" xfId="0" applyFont="1" applyFill="1" applyBorder="1" applyAlignment="1"/>
    <xf numFmtId="0" fontId="9" fillId="5" borderId="4" xfId="0" applyFont="1" applyFill="1" applyBorder="1" applyAlignment="1">
      <alignment horizontal="center"/>
    </xf>
    <xf numFmtId="2" fontId="8" fillId="5" borderId="4" xfId="2" applyNumberFormat="1" applyFont="1" applyFill="1" applyBorder="1" applyAlignment="1">
      <alignment horizontal="center"/>
    </xf>
    <xf numFmtId="49" fontId="0" fillId="0" borderId="4" xfId="0" applyNumberFormat="1" applyBorder="1" applyAlignment="1">
      <alignment horizontal="center" wrapText="1"/>
    </xf>
    <xf numFmtId="1" fontId="0" fillId="5" borderId="4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5" fillId="5" borderId="0" xfId="0" applyNumberFormat="1" applyFont="1" applyFill="1" applyAlignment="1">
      <alignment horizontal="center"/>
    </xf>
    <xf numFmtId="0" fontId="5" fillId="5" borderId="4" xfId="0" applyNumberFormat="1" applyFont="1" applyFill="1" applyBorder="1" applyAlignment="1">
      <alignment horizontal="center"/>
    </xf>
    <xf numFmtId="0" fontId="0" fillId="0" borderId="0" xfId="0" applyNumberFormat="1"/>
    <xf numFmtId="9" fontId="0" fillId="5" borderId="4" xfId="0" applyNumberFormat="1" applyFill="1" applyBorder="1" applyAlignment="1">
      <alignment horizontal="center" vertical="center"/>
    </xf>
    <xf numFmtId="9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49" fontId="8" fillId="0" borderId="15" xfId="0" applyNumberFormat="1" applyFont="1" applyFill="1" applyBorder="1" applyAlignment="1">
      <alignment horizontal="center"/>
    </xf>
    <xf numFmtId="49" fontId="0" fillId="11" borderId="4" xfId="0" applyNumberFormat="1" applyFill="1" applyBorder="1" applyAlignment="1">
      <alignment horizontal="center" wrapText="1"/>
    </xf>
    <xf numFmtId="49" fontId="0" fillId="7" borderId="4" xfId="0" applyNumberFormat="1" applyFill="1" applyBorder="1" applyAlignment="1">
      <alignment horizontal="center"/>
    </xf>
    <xf numFmtId="0" fontId="8" fillId="5" borderId="4" xfId="1" applyNumberFormat="1" applyFont="1" applyFill="1" applyBorder="1" applyAlignment="1">
      <alignment horizontal="center"/>
    </xf>
    <xf numFmtId="49" fontId="8" fillId="0" borderId="4" xfId="0" applyNumberFormat="1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6" borderId="7" xfId="1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2" xfId="1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1" fontId="5" fillId="0" borderId="15" xfId="0" applyNumberFormat="1" applyFont="1" applyFill="1" applyBorder="1" applyAlignment="1">
      <alignment horizontal="center"/>
    </xf>
    <xf numFmtId="49" fontId="5" fillId="5" borderId="15" xfId="0" applyNumberFormat="1" applyFont="1" applyFill="1" applyBorder="1" applyAlignment="1">
      <alignment horizontal="center"/>
    </xf>
    <xf numFmtId="49" fontId="5" fillId="0" borderId="15" xfId="0" applyNumberFormat="1" applyFont="1" applyFill="1" applyBorder="1" applyAlignment="1">
      <alignment horizontal="left"/>
    </xf>
    <xf numFmtId="1" fontId="3" fillId="5" borderId="15" xfId="0" applyNumberFormat="1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49" fontId="3" fillId="5" borderId="15" xfId="0" applyNumberFormat="1" applyFont="1" applyFill="1" applyBorder="1" applyAlignment="1"/>
    <xf numFmtId="0" fontId="3" fillId="5" borderId="1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5" borderId="4" xfId="1" applyNumberFormat="1" applyFont="1" applyFill="1" applyBorder="1" applyAlignment="1">
      <alignment horizontal="center"/>
    </xf>
    <xf numFmtId="0" fontId="5" fillId="5" borderId="15" xfId="1" applyNumberFormat="1" applyFont="1" applyFill="1" applyBorder="1" applyAlignment="1">
      <alignment horizontal="center"/>
    </xf>
    <xf numFmtId="0" fontId="5" fillId="9" borderId="11" xfId="0" applyNumberFormat="1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1" fontId="5" fillId="12" borderId="4" xfId="0" applyNumberFormat="1" applyFont="1" applyFill="1" applyBorder="1" applyAlignment="1">
      <alignment horizontal="center"/>
    </xf>
    <xf numFmtId="49" fontId="5" fillId="12" borderId="4" xfId="0" applyNumberFormat="1" applyFont="1" applyFill="1" applyBorder="1" applyAlignment="1">
      <alignment horizontal="center"/>
    </xf>
    <xf numFmtId="0" fontId="5" fillId="12" borderId="4" xfId="0" applyNumberFormat="1" applyFont="1" applyFill="1" applyBorder="1" applyAlignment="1">
      <alignment horizontal="center"/>
    </xf>
    <xf numFmtId="0" fontId="5" fillId="12" borderId="4" xfId="1" applyNumberFormat="1" applyFont="1" applyFill="1" applyBorder="1" applyAlignment="1">
      <alignment horizontal="center"/>
    </xf>
    <xf numFmtId="0" fontId="0" fillId="12" borderId="0" xfId="0" applyFill="1"/>
    <xf numFmtId="0" fontId="5" fillId="6" borderId="9" xfId="0" applyFont="1" applyFill="1" applyBorder="1" applyAlignment="1">
      <alignment horizontal="center"/>
    </xf>
    <xf numFmtId="0" fontId="6" fillId="6" borderId="12" xfId="1" applyNumberFormat="1" applyFont="1" applyFill="1" applyBorder="1" applyAlignment="1">
      <alignment horizontal="center"/>
    </xf>
    <xf numFmtId="0" fontId="5" fillId="10" borderId="4" xfId="1" applyNumberFormat="1" applyFont="1" applyFill="1" applyBorder="1" applyAlignment="1">
      <alignment horizontal="center"/>
    </xf>
    <xf numFmtId="0" fontId="5" fillId="9" borderId="9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12" borderId="4" xfId="0" applyFill="1" applyBorder="1" applyAlignment="1"/>
    <xf numFmtId="1" fontId="0" fillId="12" borderId="4" xfId="0" applyNumberFormat="1" applyFill="1" applyBorder="1" applyAlignment="1">
      <alignment horizontal="center"/>
    </xf>
    <xf numFmtId="49" fontId="0" fillId="12" borderId="4" xfId="0" applyNumberFormat="1" applyFill="1" applyBorder="1" applyAlignment="1">
      <alignment horizontal="center"/>
    </xf>
    <xf numFmtId="49" fontId="0" fillId="12" borderId="4" xfId="0" applyNumberFormat="1" applyFill="1" applyBorder="1" applyAlignment="1"/>
    <xf numFmtId="49" fontId="0" fillId="12" borderId="4" xfId="0" applyNumberFormat="1" applyFill="1" applyBorder="1"/>
    <xf numFmtId="2" fontId="0" fillId="12" borderId="4" xfId="2" applyNumberFormat="1" applyFont="1" applyFill="1" applyBorder="1" applyAlignment="1">
      <alignment horizontal="center"/>
    </xf>
    <xf numFmtId="49" fontId="7" fillId="12" borderId="4" xfId="0" applyNumberFormat="1" applyFont="1" applyFill="1" applyBorder="1" applyAlignment="1"/>
    <xf numFmtId="0" fontId="0" fillId="5" borderId="0" xfId="0" applyFill="1"/>
    <xf numFmtId="0" fontId="3" fillId="12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1" fillId="0" borderId="4" xfId="0" applyFont="1" applyBorder="1" applyAlignment="1"/>
    <xf numFmtId="1" fontId="11" fillId="0" borderId="4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49" fontId="11" fillId="0" borderId="4" xfId="0" applyNumberFormat="1" applyFont="1" applyBorder="1" applyAlignment="1"/>
    <xf numFmtId="49" fontId="11" fillId="0" borderId="4" xfId="0" applyNumberFormat="1" applyFont="1" applyBorder="1"/>
    <xf numFmtId="49" fontId="6" fillId="5" borderId="4" xfId="0" applyNumberFormat="1" applyFont="1" applyFill="1" applyBorder="1" applyAlignment="1">
      <alignment horizontal="center"/>
    </xf>
    <xf numFmtId="2" fontId="11" fillId="5" borderId="4" xfId="2" applyNumberFormat="1" applyFont="1" applyFill="1" applyBorder="1" applyAlignment="1">
      <alignment horizontal="center"/>
    </xf>
    <xf numFmtId="0" fontId="6" fillId="5" borderId="4" xfId="1" applyNumberFormat="1" applyFont="1" applyFill="1" applyBorder="1" applyAlignment="1">
      <alignment horizontal="center"/>
    </xf>
    <xf numFmtId="0" fontId="11" fillId="0" borderId="0" xfId="0" applyFont="1"/>
    <xf numFmtId="0" fontId="0" fillId="0" borderId="4" xfId="2" applyNumberFormat="1" applyFont="1" applyBorder="1" applyAlignment="1">
      <alignment horizontal="center"/>
    </xf>
    <xf numFmtId="0" fontId="0" fillId="12" borderId="4" xfId="2" applyNumberFormat="1" applyFont="1" applyFill="1" applyBorder="1" applyAlignment="1">
      <alignment horizontal="center"/>
    </xf>
    <xf numFmtId="0" fontId="0" fillId="5" borderId="4" xfId="2" applyNumberFormat="1" applyFont="1" applyFill="1" applyBorder="1" applyAlignment="1">
      <alignment horizontal="center"/>
    </xf>
    <xf numFmtId="0" fontId="11" fillId="5" borderId="4" xfId="2" applyNumberFormat="1" applyFont="1" applyFill="1" applyBorder="1" applyAlignment="1">
      <alignment horizontal="center"/>
    </xf>
    <xf numFmtId="0" fontId="8" fillId="5" borderId="4" xfId="2" applyNumberFormat="1" applyFont="1" applyFill="1" applyBorder="1" applyAlignment="1">
      <alignment horizontal="center"/>
    </xf>
    <xf numFmtId="0" fontId="8" fillId="5" borderId="15" xfId="2" applyNumberFormat="1" applyFont="1" applyFill="1" applyBorder="1" applyAlignment="1">
      <alignment horizontal="center"/>
    </xf>
    <xf numFmtId="0" fontId="12" fillId="6" borderId="7" xfId="0" applyNumberFormat="1" applyFont="1" applyFill="1" applyBorder="1" applyAlignment="1">
      <alignment horizontal="center"/>
    </xf>
    <xf numFmtId="0" fontId="5" fillId="5" borderId="11" xfId="0" applyNumberFormat="1" applyFont="1" applyFill="1" applyBorder="1" applyAlignment="1">
      <alignment horizontal="center"/>
    </xf>
    <xf numFmtId="0" fontId="5" fillId="6" borderId="9" xfId="0" applyNumberFormat="1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2" fontId="5" fillId="5" borderId="4" xfId="0" applyNumberFormat="1" applyFont="1" applyFill="1" applyBorder="1" applyAlignment="1">
      <alignment horizontal="center"/>
    </xf>
    <xf numFmtId="0" fontId="5" fillId="9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1" fontId="6" fillId="8" borderId="15" xfId="0" applyNumberFormat="1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49" fontId="6" fillId="8" borderId="15" xfId="0" applyNumberFormat="1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4" xfId="0" applyNumberFormat="1" applyFont="1" applyFill="1" applyBorder="1" applyAlignment="1">
      <alignment horizontal="center"/>
    </xf>
    <xf numFmtId="0" fontId="6" fillId="5" borderId="15" xfId="1" applyNumberFormat="1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1" fontId="13" fillId="13" borderId="4" xfId="0" applyNumberFormat="1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1" fontId="16" fillId="13" borderId="4" xfId="0" applyNumberFormat="1" applyFont="1" applyFill="1" applyBorder="1" applyAlignment="1">
      <alignment horizontal="center"/>
    </xf>
    <xf numFmtId="2" fontId="17" fillId="5" borderId="4" xfId="0" applyNumberFormat="1" applyFont="1" applyFill="1" applyBorder="1" applyAlignment="1">
      <alignment horizontal="center"/>
    </xf>
    <xf numFmtId="0" fontId="0" fillId="0" borderId="4" xfId="0" applyFill="1" applyBorder="1"/>
    <xf numFmtId="0" fontId="0" fillId="5" borderId="4" xfId="0" applyFill="1" applyBorder="1" applyAlignment="1">
      <alignment horizontal="center" wrapText="1"/>
    </xf>
    <xf numFmtId="0" fontId="0" fillId="0" borderId="4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12" borderId="24" xfId="0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" fontId="0" fillId="7" borderId="4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 wrapText="1"/>
    </xf>
    <xf numFmtId="9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5" fillId="7" borderId="4" xfId="0" applyNumberFormat="1" applyFont="1" applyFill="1" applyBorder="1" applyAlignment="1">
      <alignment horizontal="center"/>
    </xf>
    <xf numFmtId="0" fontId="5" fillId="7" borderId="4" xfId="1" applyNumberFormat="1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0" fillId="7" borderId="0" xfId="0" applyFill="1"/>
    <xf numFmtId="1" fontId="0" fillId="7" borderId="4" xfId="0" applyNumberFormat="1" applyFill="1" applyBorder="1" applyAlignment="1">
      <alignment horizontal="center"/>
    </xf>
    <xf numFmtId="9" fontId="0" fillId="7" borderId="4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6" xfId="0" applyFont="1" applyFill="1" applyBorder="1" applyAlignment="1">
      <alignment horizontal="center"/>
    </xf>
    <xf numFmtId="2" fontId="5" fillId="12" borderId="4" xfId="0" applyNumberFormat="1" applyFont="1" applyFill="1" applyBorder="1" applyAlignment="1">
      <alignment horizontal="center"/>
    </xf>
    <xf numFmtId="2" fontId="5" fillId="5" borderId="0" xfId="0" applyNumberFormat="1" applyFont="1" applyFill="1" applyAlignment="1">
      <alignment horizontal="center"/>
    </xf>
    <xf numFmtId="2" fontId="6" fillId="6" borderId="7" xfId="1" applyNumberFormat="1" applyFont="1" applyFill="1" applyBorder="1" applyAlignment="1">
      <alignment horizontal="center"/>
    </xf>
    <xf numFmtId="2" fontId="6" fillId="5" borderId="15" xfId="0" applyNumberFormat="1" applyFont="1" applyFill="1" applyBorder="1" applyAlignment="1">
      <alignment horizontal="center"/>
    </xf>
    <xf numFmtId="2" fontId="8" fillId="5" borderId="15" xfId="1" applyNumberFormat="1" applyFont="1" applyFill="1" applyBorder="1" applyAlignment="1">
      <alignment horizontal="center"/>
    </xf>
    <xf numFmtId="2" fontId="0" fillId="0" borderId="0" xfId="0" applyNumberFormat="1"/>
    <xf numFmtId="0" fontId="5" fillId="6" borderId="25" xfId="0" applyFont="1" applyFill="1" applyBorder="1" applyAlignment="1"/>
    <xf numFmtId="0" fontId="5" fillId="6" borderId="13" xfId="0" applyFont="1" applyFill="1" applyBorder="1" applyAlignment="1"/>
    <xf numFmtId="0" fontId="19" fillId="5" borderId="15" xfId="1" applyNumberFormat="1" applyFont="1" applyFill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19" fillId="5" borderId="15" xfId="0" applyFont="1" applyFill="1" applyBorder="1" applyAlignment="1">
      <alignment horizontal="center"/>
    </xf>
    <xf numFmtId="1" fontId="19" fillId="0" borderId="15" xfId="0" applyNumberFormat="1" applyFont="1" applyFill="1" applyBorder="1" applyAlignment="1">
      <alignment horizontal="center"/>
    </xf>
    <xf numFmtId="49" fontId="19" fillId="5" borderId="15" xfId="0" applyNumberFormat="1" applyFont="1" applyFill="1" applyBorder="1" applyAlignment="1">
      <alignment horizontal="center"/>
    </xf>
    <xf numFmtId="0" fontId="19" fillId="0" borderId="15" xfId="0" applyFont="1" applyFill="1" applyBorder="1" applyAlignment="1">
      <alignment horizontal="center"/>
    </xf>
    <xf numFmtId="0" fontId="5" fillId="6" borderId="9" xfId="0" applyFont="1" applyFill="1" applyBorder="1" applyAlignment="1"/>
    <xf numFmtId="0" fontId="5" fillId="6" borderId="26" xfId="0" applyFont="1" applyFill="1" applyBorder="1" applyAlignment="1"/>
    <xf numFmtId="49" fontId="5" fillId="0" borderId="15" xfId="0" applyNumberFormat="1" applyFont="1" applyFill="1" applyBorder="1" applyAlignment="1">
      <alignment horizontal="center"/>
    </xf>
    <xf numFmtId="2" fontId="8" fillId="5" borderId="15" xfId="2" applyNumberFormat="1" applyFont="1" applyFill="1" applyBorder="1" applyAlignment="1">
      <alignment horizontal="center"/>
    </xf>
    <xf numFmtId="0" fontId="19" fillId="5" borderId="15" xfId="0" applyNumberFormat="1" applyFont="1" applyFill="1" applyBorder="1" applyAlignment="1">
      <alignment horizontal="center"/>
    </xf>
    <xf numFmtId="0" fontId="19" fillId="5" borderId="14" xfId="0" applyNumberFormat="1" applyFont="1" applyFill="1" applyBorder="1" applyAlignment="1">
      <alignment horizontal="center"/>
    </xf>
    <xf numFmtId="49" fontId="20" fillId="12" borderId="27" xfId="0" applyNumberFormat="1" applyFont="1" applyFill="1" applyBorder="1" applyAlignment="1"/>
    <xf numFmtId="49" fontId="19" fillId="12" borderId="28" xfId="0" applyNumberFormat="1" applyFont="1" applyFill="1" applyBorder="1" applyAlignment="1">
      <alignment horizontal="center"/>
    </xf>
    <xf numFmtId="0" fontId="19" fillId="12" borderId="28" xfId="0" applyFont="1" applyFill="1" applyBorder="1" applyAlignment="1">
      <alignment horizontal="center"/>
    </xf>
    <xf numFmtId="2" fontId="19" fillId="12" borderId="29" xfId="0" applyNumberFormat="1" applyFont="1" applyFill="1" applyBorder="1" applyAlignment="1">
      <alignment horizontal="center"/>
    </xf>
    <xf numFmtId="2" fontId="5" fillId="5" borderId="8" xfId="0" applyNumberFormat="1" applyFont="1" applyFill="1" applyBorder="1" applyAlignment="1">
      <alignment horizontal="center"/>
    </xf>
    <xf numFmtId="49" fontId="19" fillId="0" borderId="15" xfId="0" applyNumberFormat="1" applyFont="1" applyFill="1" applyBorder="1" applyAlignment="1">
      <alignment horizontal="left"/>
    </xf>
    <xf numFmtId="49" fontId="15" fillId="12" borderId="15" xfId="0" applyNumberFormat="1" applyFont="1" applyFill="1" applyBorder="1" applyAlignment="1">
      <alignment horizontal="center"/>
    </xf>
    <xf numFmtId="0" fontId="21" fillId="12" borderId="15" xfId="0" applyFont="1" applyFill="1" applyBorder="1" applyAlignment="1">
      <alignment horizontal="center"/>
    </xf>
    <xf numFmtId="2" fontId="21" fillId="12" borderId="15" xfId="1" applyNumberFormat="1" applyFon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18" fillId="6" borderId="30" xfId="0" applyNumberFormat="1" applyFont="1" applyFill="1" applyBorder="1" applyAlignment="1">
      <alignment horizontal="center"/>
    </xf>
    <xf numFmtId="0" fontId="18" fillId="6" borderId="2" xfId="1" applyNumberFormat="1" applyFont="1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5" borderId="4" xfId="0" applyNumberFormat="1" applyFill="1" applyBorder="1" applyAlignment="1">
      <alignment horizontal="center"/>
    </xf>
    <xf numFmtId="0" fontId="0" fillId="5" borderId="15" xfId="0" applyNumberFormat="1" applyFill="1" applyBorder="1" applyAlignment="1">
      <alignment horizontal="center"/>
    </xf>
    <xf numFmtId="165" fontId="5" fillId="5" borderId="4" xfId="0" applyNumberFormat="1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49" fontId="0" fillId="14" borderId="4" xfId="0" applyNumberForma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5" fillId="5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16" fillId="5" borderId="32" xfId="0" applyFont="1" applyFill="1" applyBorder="1" applyAlignment="1"/>
    <xf numFmtId="0" fontId="16" fillId="5" borderId="33" xfId="0" applyFont="1" applyFill="1" applyBorder="1" applyAlignment="1"/>
    <xf numFmtId="0" fontId="5" fillId="5" borderId="3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8" xfId="0" applyBorder="1"/>
    <xf numFmtId="0" fontId="0" fillId="0" borderId="5" xfId="0" applyBorder="1" applyAlignment="1">
      <alignment horizontal="center"/>
    </xf>
    <xf numFmtId="2" fontId="0" fillId="0" borderId="38" xfId="0" applyNumberFormat="1" applyBorder="1"/>
    <xf numFmtId="2" fontId="0" fillId="0" borderId="39" xfId="0" applyNumberFormat="1" applyBorder="1"/>
    <xf numFmtId="2" fontId="0" fillId="0" borderId="37" xfId="0" applyNumberFormat="1" applyBorder="1"/>
    <xf numFmtId="0" fontId="0" fillId="5" borderId="32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7" fillId="7" borderId="4" xfId="0" applyNumberFormat="1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2" fontId="0" fillId="11" borderId="4" xfId="0" applyNumberFormat="1" applyFill="1" applyBorder="1" applyAlignment="1">
      <alignment horizontal="center"/>
    </xf>
    <xf numFmtId="2" fontId="0" fillId="12" borderId="4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2" fontId="0" fillId="16" borderId="4" xfId="0" applyNumberFormat="1" applyFill="1" applyBorder="1" applyAlignment="1">
      <alignment horizontal="center"/>
    </xf>
    <xf numFmtId="2" fontId="5" fillId="6" borderId="11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left"/>
    </xf>
    <xf numFmtId="164" fontId="0" fillId="6" borderId="4" xfId="0" applyNumberFormat="1" applyFill="1" applyBorder="1"/>
    <xf numFmtId="164" fontId="0" fillId="5" borderId="0" xfId="0" applyNumberFormat="1" applyFill="1"/>
    <xf numFmtId="164" fontId="0" fillId="5" borderId="32" xfId="0" applyNumberFormat="1" applyFill="1" applyBorder="1"/>
    <xf numFmtId="164" fontId="0" fillId="5" borderId="33" xfId="0" applyNumberFormat="1" applyFill="1" applyBorder="1"/>
    <xf numFmtId="164" fontId="0" fillId="5" borderId="34" xfId="0" applyNumberFormat="1" applyFill="1" applyBorder="1"/>
    <xf numFmtId="164" fontId="0" fillId="19" borderId="4" xfId="0" applyNumberFormat="1" applyFill="1" applyBorder="1"/>
    <xf numFmtId="0" fontId="0" fillId="5" borderId="3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164" fontId="0" fillId="6" borderId="3" xfId="0" applyNumberFormat="1" applyFill="1" applyBorder="1"/>
    <xf numFmtId="164" fontId="0" fillId="6" borderId="38" xfId="0" applyNumberFormat="1" applyFill="1" applyBorder="1"/>
    <xf numFmtId="164" fontId="0" fillId="6" borderId="5" xfId="0" applyNumberFormat="1" applyFill="1" applyBorder="1"/>
    <xf numFmtId="164" fontId="0" fillId="6" borderId="6" xfId="0" applyNumberFormat="1" applyFill="1" applyBorder="1"/>
    <xf numFmtId="164" fontId="0" fillId="6" borderId="39" xfId="0" applyNumberFormat="1" applyFill="1" applyBorder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0" fillId="5" borderId="37" xfId="0" applyFill="1" applyBorder="1"/>
    <xf numFmtId="0" fontId="0" fillId="5" borderId="20" xfId="0" applyFill="1" applyBorder="1"/>
    <xf numFmtId="0" fontId="0" fillId="5" borderId="0" xfId="0" applyFill="1" applyBorder="1"/>
    <xf numFmtId="0" fontId="0" fillId="5" borderId="0" xfId="0" applyFill="1" applyBorder="1" applyAlignment="1">
      <alignment horizontal="center" vertical="center"/>
    </xf>
    <xf numFmtId="0" fontId="0" fillId="5" borderId="21" xfId="0" applyFill="1" applyBorder="1"/>
    <xf numFmtId="0" fontId="0" fillId="5" borderId="3" xfId="0" applyFill="1" applyBorder="1" applyAlignment="1">
      <alignment horizontal="left"/>
    </xf>
    <xf numFmtId="164" fontId="0" fillId="18" borderId="38" xfId="0" applyNumberFormat="1" applyFill="1" applyBorder="1"/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center" vertical="center"/>
    </xf>
    <xf numFmtId="164" fontId="0" fillId="19" borderId="6" xfId="0" applyNumberFormat="1" applyFill="1" applyBorder="1"/>
    <xf numFmtId="164" fontId="0" fillId="18" borderId="39" xfId="0" applyNumberFormat="1" applyFill="1" applyBorder="1"/>
    <xf numFmtId="0" fontId="0" fillId="12" borderId="36" xfId="0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32" xfId="0" applyFill="1" applyBorder="1" applyAlignment="1">
      <alignment horizontal="left"/>
    </xf>
    <xf numFmtId="0" fontId="0" fillId="5" borderId="34" xfId="0" applyFill="1" applyBorder="1" applyAlignment="1">
      <alignment horizontal="center" vertical="center"/>
    </xf>
    <xf numFmtId="0" fontId="0" fillId="5" borderId="0" xfId="0" applyFill="1" applyAlignment="1"/>
    <xf numFmtId="0" fontId="0" fillId="5" borderId="2" xfId="0" applyFill="1" applyBorder="1" applyAlignment="1"/>
    <xf numFmtId="0" fontId="0" fillId="5" borderId="0" xfId="0" applyFill="1" applyBorder="1" applyAlignment="1"/>
    <xf numFmtId="0" fontId="0" fillId="12" borderId="6" xfId="0" applyFill="1" applyBorder="1" applyAlignment="1"/>
    <xf numFmtId="0" fontId="0" fillId="0" borderId="0" xfId="0" applyBorder="1" applyAlignment="1"/>
    <xf numFmtId="1" fontId="16" fillId="13" borderId="40" xfId="0" applyNumberFormat="1" applyFont="1" applyFill="1" applyBorder="1" applyAlignment="1">
      <alignment horizontal="center"/>
    </xf>
    <xf numFmtId="1" fontId="12" fillId="6" borderId="7" xfId="0" applyNumberFormat="1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5" borderId="4" xfId="0" applyNumberFormat="1" applyFont="1" applyFill="1" applyBorder="1" applyAlignment="1">
      <alignment horizontal="center"/>
    </xf>
    <xf numFmtId="1" fontId="12" fillId="6" borderId="4" xfId="0" applyNumberFormat="1" applyFont="1" applyFill="1" applyBorder="1" applyAlignment="1">
      <alignment horizontal="center"/>
    </xf>
    <xf numFmtId="164" fontId="0" fillId="0" borderId="0" xfId="0" applyNumberFormat="1" applyBorder="1" applyAlignment="1"/>
    <xf numFmtId="0" fontId="14" fillId="0" borderId="0" xfId="0" applyFont="1" applyBorder="1" applyAlignment="1"/>
    <xf numFmtId="0" fontId="6" fillId="6" borderId="7" xfId="0" applyNumberFormat="1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2" fontId="0" fillId="5" borderId="4" xfId="0" applyNumberFormat="1" applyFill="1" applyBorder="1"/>
    <xf numFmtId="0" fontId="0" fillId="5" borderId="4" xfId="0" applyFill="1" applyBorder="1"/>
    <xf numFmtId="0" fontId="0" fillId="5" borderId="19" xfId="0" applyFill="1" applyBorder="1" applyAlignment="1">
      <alignment horizontal="center"/>
    </xf>
    <xf numFmtId="2" fontId="0" fillId="5" borderId="3" xfId="0" applyNumberFormat="1" applyFill="1" applyBorder="1"/>
    <xf numFmtId="2" fontId="0" fillId="5" borderId="38" xfId="0" applyNumberFormat="1" applyFill="1" applyBorder="1"/>
    <xf numFmtId="2" fontId="0" fillId="5" borderId="5" xfId="0" applyNumberFormat="1" applyFill="1" applyBorder="1"/>
    <xf numFmtId="0" fontId="0" fillId="5" borderId="6" xfId="0" applyFill="1" applyBorder="1"/>
    <xf numFmtId="2" fontId="0" fillId="5" borderId="6" xfId="0" applyNumberFormat="1" applyFill="1" applyBorder="1"/>
    <xf numFmtId="2" fontId="0" fillId="5" borderId="39" xfId="0" applyNumberFormat="1" applyFill="1" applyBorder="1"/>
    <xf numFmtId="0" fontId="5" fillId="12" borderId="34" xfId="0" applyNumberFormat="1" applyFont="1" applyFill="1" applyBorder="1" applyAlignment="1">
      <alignment horizontal="center"/>
    </xf>
    <xf numFmtId="0" fontId="16" fillId="5" borderId="32" xfId="0" applyNumberFormat="1" applyFont="1" applyFill="1" applyBorder="1" applyAlignment="1">
      <alignment horizontal="center"/>
    </xf>
    <xf numFmtId="0" fontId="8" fillId="12" borderId="4" xfId="1" applyNumberFormat="1" applyFont="1" applyFill="1" applyBorder="1" applyAlignment="1">
      <alignment horizontal="center"/>
    </xf>
    <xf numFmtId="0" fontId="8" fillId="12" borderId="15" xfId="1" applyNumberFormat="1" applyFont="1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5" fillId="12" borderId="15" xfId="1" applyNumberFormat="1" applyFont="1" applyFill="1" applyBorder="1" applyAlignment="1">
      <alignment horizontal="center"/>
    </xf>
    <xf numFmtId="0" fontId="16" fillId="5" borderId="33" xfId="0" applyNumberFormat="1" applyFont="1" applyFill="1" applyBorder="1" applyAlignment="1">
      <alignment horizontal="center"/>
    </xf>
    <xf numFmtId="0" fontId="6" fillId="5" borderId="15" xfId="0" applyNumberFormat="1" applyFont="1" applyFill="1" applyBorder="1" applyAlignment="1">
      <alignment horizontal="center"/>
    </xf>
    <xf numFmtId="0" fontId="5" fillId="5" borderId="15" xfId="0" applyNumberFormat="1" applyFont="1" applyFill="1" applyBorder="1" applyAlignment="1">
      <alignment horizontal="center"/>
    </xf>
    <xf numFmtId="0" fontId="5" fillId="5" borderId="14" xfId="0" applyNumberFormat="1" applyFont="1" applyFill="1" applyBorder="1" applyAlignment="1">
      <alignment horizontal="center"/>
    </xf>
    <xf numFmtId="2" fontId="5" fillId="12" borderId="29" xfId="0" applyNumberFormat="1" applyFont="1" applyFill="1" applyBorder="1" applyAlignment="1">
      <alignment horizontal="center"/>
    </xf>
    <xf numFmtId="0" fontId="5" fillId="9" borderId="4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3" applyFont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14" fillId="5" borderId="35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7" borderId="35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35" xfId="0" applyFont="1" applyFill="1" applyBorder="1" applyAlignment="1">
      <alignment horizontal="center"/>
    </xf>
    <xf numFmtId="0" fontId="16" fillId="5" borderId="32" xfId="0" applyFont="1" applyFill="1" applyBorder="1" applyAlignment="1">
      <alignment horizontal="center"/>
    </xf>
    <xf numFmtId="0" fontId="16" fillId="5" borderId="33" xfId="0" applyFont="1" applyFill="1" applyBorder="1" applyAlignment="1">
      <alignment horizontal="center"/>
    </xf>
    <xf numFmtId="0" fontId="16" fillId="5" borderId="3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2" fontId="22" fillId="12" borderId="29" xfId="0" applyNumberFormat="1" applyFont="1" applyFill="1" applyBorder="1" applyAlignment="1">
      <alignment horizontal="center"/>
    </xf>
    <xf numFmtId="0" fontId="23" fillId="5" borderId="14" xfId="0" applyNumberFormat="1" applyFont="1" applyFill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22" fillId="5" borderId="15" xfId="0" applyFont="1" applyFill="1" applyBorder="1" applyAlignment="1"/>
    <xf numFmtId="1" fontId="24" fillId="5" borderId="15" xfId="0" applyNumberFormat="1" applyFont="1" applyFill="1" applyBorder="1" applyAlignment="1">
      <alignment horizontal="center"/>
    </xf>
    <xf numFmtId="49" fontId="24" fillId="5" borderId="15" xfId="0" applyNumberFormat="1" applyFont="1" applyFill="1" applyBorder="1" applyAlignment="1">
      <alignment horizontal="center"/>
    </xf>
    <xf numFmtId="49" fontId="24" fillId="5" borderId="12" xfId="0" applyNumberFormat="1" applyFont="1" applyFill="1" applyBorder="1" applyAlignment="1"/>
    <xf numFmtId="49" fontId="24" fillId="12" borderId="27" xfId="0" applyNumberFormat="1" applyFont="1" applyFill="1" applyBorder="1" applyAlignment="1"/>
    <xf numFmtId="0" fontId="22" fillId="12" borderId="28" xfId="0" applyFont="1" applyFill="1" applyBorder="1" applyAlignment="1">
      <alignment horizontal="center"/>
    </xf>
    <xf numFmtId="0" fontId="24" fillId="12" borderId="28" xfId="0" applyFont="1" applyFill="1" applyBorder="1" applyAlignment="1">
      <alignment horizontal="center"/>
    </xf>
    <xf numFmtId="0" fontId="22" fillId="5" borderId="15" xfId="0" applyNumberFormat="1" applyFont="1" applyFill="1" applyBorder="1" applyAlignment="1">
      <alignment horizontal="center"/>
    </xf>
    <xf numFmtId="0" fontId="22" fillId="5" borderId="0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1" fillId="0" borderId="0" xfId="0" applyFont="1" applyAlignment="1">
      <alignment horizontal="center"/>
    </xf>
    <xf numFmtId="2" fontId="0" fillId="0" borderId="0" xfId="0" applyNumberFormat="1" applyAlignment="1"/>
    <xf numFmtId="0" fontId="16" fillId="5" borderId="32" xfId="0" applyNumberFormat="1" applyFont="1" applyFill="1" applyBorder="1" applyAlignment="1">
      <alignment horizontal="center"/>
    </xf>
    <xf numFmtId="0" fontId="16" fillId="5" borderId="33" xfId="0" applyNumberFormat="1" applyFont="1" applyFill="1" applyBorder="1" applyAlignment="1">
      <alignment horizontal="center"/>
    </xf>
    <xf numFmtId="2" fontId="5" fillId="5" borderId="11" xfId="0" applyNumberFormat="1" applyFont="1" applyFill="1" applyBorder="1" applyAlignment="1">
      <alignment horizontal="center"/>
    </xf>
    <xf numFmtId="2" fontId="5" fillId="6" borderId="9" xfId="0" applyNumberFormat="1" applyFont="1" applyFill="1" applyBorder="1" applyAlignment="1">
      <alignment horizontal="center"/>
    </xf>
    <xf numFmtId="0" fontId="18" fillId="6" borderId="30" xfId="0" applyFont="1" applyFill="1" applyBorder="1" applyAlignment="1">
      <alignment horizontal="center"/>
    </xf>
    <xf numFmtId="1" fontId="13" fillId="13" borderId="4" xfId="0" applyNumberFormat="1" applyFont="1" applyFill="1" applyBorder="1" applyAlignment="1"/>
    <xf numFmtId="49" fontId="0" fillId="14" borderId="4" xfId="0" applyNumberFormat="1" applyFill="1" applyBorder="1" applyAlignment="1"/>
    <xf numFmtId="0" fontId="10" fillId="0" borderId="4" xfId="0" applyFont="1" applyBorder="1" applyAlignment="1">
      <alignment vertical="center"/>
    </xf>
    <xf numFmtId="49" fontId="5" fillId="0" borderId="4" xfId="0" applyNumberFormat="1" applyFont="1" applyFill="1" applyBorder="1" applyAlignment="1"/>
    <xf numFmtId="2" fontId="0" fillId="0" borderId="37" xfId="0" applyNumberFormat="1" applyBorder="1" applyAlignment="1"/>
    <xf numFmtId="0" fontId="0" fillId="0" borderId="38" xfId="0" applyBorder="1" applyAlignment="1"/>
    <xf numFmtId="2" fontId="0" fillId="0" borderId="38" xfId="0" applyNumberFormat="1" applyBorder="1" applyAlignment="1"/>
    <xf numFmtId="2" fontId="0" fillId="0" borderId="39" xfId="0" applyNumberFormat="1" applyBorder="1" applyAlignment="1"/>
    <xf numFmtId="1" fontId="5" fillId="5" borderId="0" xfId="0" applyNumberFormat="1" applyFont="1" applyFill="1" applyAlignment="1">
      <alignment horizontal="center"/>
    </xf>
    <xf numFmtId="1" fontId="6" fillId="6" borderId="12" xfId="1" applyNumberFormat="1" applyFont="1" applyFill="1" applyBorder="1" applyAlignment="1">
      <alignment horizontal="center"/>
    </xf>
    <xf numFmtId="1" fontId="5" fillId="5" borderId="4" xfId="1" applyNumberFormat="1" applyFont="1" applyFill="1" applyBorder="1" applyAlignment="1">
      <alignment horizontal="center"/>
    </xf>
    <xf numFmtId="1" fontId="8" fillId="5" borderId="15" xfId="1" applyNumberFormat="1" applyFont="1" applyFill="1" applyBorder="1" applyAlignment="1">
      <alignment horizontal="center"/>
    </xf>
    <xf numFmtId="1" fontId="5" fillId="5" borderId="15" xfId="1" applyNumberFormat="1" applyFont="1" applyFill="1" applyBorder="1" applyAlignment="1">
      <alignment horizontal="center"/>
    </xf>
    <xf numFmtId="1" fontId="19" fillId="5" borderId="15" xfId="1" applyNumberFormat="1" applyFont="1" applyFill="1" applyBorder="1" applyAlignment="1">
      <alignment horizontal="center"/>
    </xf>
    <xf numFmtId="1" fontId="5" fillId="9" borderId="9" xfId="0" applyNumberFormat="1" applyFont="1" applyFill="1" applyBorder="1" applyAlignment="1">
      <alignment horizontal="center"/>
    </xf>
    <xf numFmtId="1" fontId="0" fillId="0" borderId="0" xfId="0" applyNumberFormat="1"/>
    <xf numFmtId="0" fontId="0" fillId="0" borderId="33" xfId="0" applyBorder="1" applyAlignment="1">
      <alignment horizontal="center"/>
    </xf>
    <xf numFmtId="2" fontId="0" fillId="0" borderId="36" xfId="0" applyNumberFormat="1" applyBorder="1"/>
    <xf numFmtId="0" fontId="0" fillId="5" borderId="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5" borderId="0" xfId="0" applyFill="1" applyBorder="1" applyAlignment="1">
      <alignment horizontal="left"/>
    </xf>
    <xf numFmtId="164" fontId="0" fillId="19" borderId="0" xfId="0" applyNumberFormat="1" applyFill="1" applyBorder="1"/>
    <xf numFmtId="164" fontId="0" fillId="18" borderId="0" xfId="0" applyNumberFormat="1" applyFill="1" applyBorder="1"/>
    <xf numFmtId="2" fontId="0" fillId="5" borderId="0" xfId="0" applyNumberFormat="1" applyFill="1" applyBorder="1"/>
    <xf numFmtId="0" fontId="0" fillId="14" borderId="32" xfId="0" applyFill="1" applyBorder="1"/>
    <xf numFmtId="2" fontId="0" fillId="14" borderId="28" xfId="0" applyNumberFormat="1" applyFill="1" applyBorder="1"/>
    <xf numFmtId="0" fontId="0" fillId="14" borderId="28" xfId="0" applyFill="1" applyBorder="1"/>
    <xf numFmtId="2" fontId="0" fillId="14" borderId="29" xfId="0" applyNumberFormat="1" applyFill="1" applyBorder="1"/>
  </cellXfs>
  <cellStyles count="4">
    <cellStyle name="Accent1" xfId="3" builtinId="29"/>
    <cellStyle name="Comma" xfId="1" builtinId="3"/>
    <cellStyle name="Normal" xfId="0" builtinId="0"/>
    <cellStyle name="Percent" xfId="2" builtinId="5"/>
  </cellStyles>
  <dxfs count="346"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relativeIndent="0" justifyLastLine="0" shrinkToFit="0" mergeCell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0" indent="0" relativeIndent="0" justifyLastLine="0" shrinkToFit="0" mergeCell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numFmt numFmtId="166" formatCode="_ [$₹-4009]\ * #,##0.00_ ;_ [$₹-4009]\ * \-#,##0.00_ ;_ [$₹-4009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left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Calibri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relativeIndent="255" justifyLastLine="0" shrinkToFit="0" readingOrder="0"/>
    </dxf>
    <dxf>
      <border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3" displayName="Table13" ref="A5:Q38" totalsRowCount="1" headerRowDxfId="345" dataDxfId="343" headerRowBorderDxfId="344" tableBorderDxfId="342" totalsRowBorderDxfId="341">
  <autoFilter ref="A5:Q37"/>
  <tableColumns count="17">
    <tableColumn id="1" name="Item" dataDxfId="340" totalsRowDxfId="70"/>
    <tableColumn id="12" name="Raw Material Code" dataDxfId="339" totalsRowDxfId="69"/>
    <tableColumn id="2" name="Quantity" dataDxfId="338" totalsRowDxfId="68"/>
    <tableColumn id="3" name="Reference" dataDxfId="337" totalsRowDxfId="67"/>
    <tableColumn id="4" name="Part" totalsRowLabel="TOTAL COST" dataDxfId="336" totalsRowDxfId="66"/>
    <tableColumn id="5" name="Package" dataDxfId="335" totalsRowDxfId="65"/>
    <tableColumn id="9" name="Tolerence" dataDxfId="334" totalsRowDxfId="64"/>
    <tableColumn id="6" name="Make" dataDxfId="333" totalsRowDxfId="63"/>
    <tableColumn id="10" name="Vendor" dataDxfId="332" totalsRowDxfId="62"/>
    <tableColumn id="7" name="Unit Cost" dataDxfId="331" totalsRowDxfId="61" dataCellStyle="Comma"/>
    <tableColumn id="16" name="Total" totalsRowFunction="sum" dataDxfId="330" totalsRowDxfId="60" dataCellStyle="Comma">
      <calculatedColumnFormula>Table13[[#This Row],[Quantity]]*Table13[[#This Row],[Unit Cost]]</calculatedColumnFormula>
    </tableColumn>
    <tableColumn id="13" name="STOCK" dataDxfId="329" totalsRowDxfId="59" dataCellStyle="Comma"/>
    <tableColumn id="17" name="Interim Value" dataDxfId="328" totalsRowDxfId="58">
      <calculatedColumnFormula>Table13[[#This Row],[Quantity]]*AA6-Table13[[#This Row],[STOCK]]</calculatedColumnFormula>
    </tableColumn>
    <tableColumn id="11" name="Kitting Quantity" dataDxfId="327" totalsRowDxfId="57">
      <calculatedColumnFormula>IF(Table13[[#This Row],[Interim Value]]&lt;0,0,Table13[[#This Row],[Interim Value]])</calculatedColumnFormula>
    </tableColumn>
    <tableColumn id="8" name="PRICE" dataDxfId="326" totalsRowDxfId="56" dataCellStyle="Comma">
      <calculatedColumnFormula>Table13[[#This Row],[Kitting Quantity]]*Table13[[#This Row],[Unit Cost]]</calculatedColumnFormula>
    </tableColumn>
    <tableColumn id="14" name="SUPPLIER NAME" dataDxfId="325" totalsRowDxfId="55"/>
    <tableColumn id="15" name="PAYMENT TERMS" dataDxfId="324" totalsRowDxfId="5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479101156" displayName="Table1479101156" ref="A5:Q45" totalsRowCount="1" headerRowDxfId="323" dataDxfId="322" tableBorderDxfId="321">
  <autoFilter ref="A5:Q44">
    <filterColumn colId="10"/>
    <filterColumn colId="12"/>
    <filterColumn colId="13"/>
  </autoFilter>
  <tableColumns count="17">
    <tableColumn id="1" name="Item" dataDxfId="320" totalsRowDxfId="44"/>
    <tableColumn id="12" name="Raw Material Code" dataDxfId="319" totalsRowDxfId="43"/>
    <tableColumn id="2" name="Quantity" dataDxfId="318" totalsRowDxfId="42"/>
    <tableColumn id="3" name="Reference" dataDxfId="317" totalsRowDxfId="41"/>
    <tableColumn id="4" name="Part" dataDxfId="316" totalsRowDxfId="40"/>
    <tableColumn id="5" name="Package" totalsRowLabel="TOTAL COST" dataDxfId="315" totalsRowDxfId="39"/>
    <tableColumn id="9" name="Tolerence" dataDxfId="314" totalsRowDxfId="38"/>
    <tableColumn id="6" name="Make" dataDxfId="313" totalsRowDxfId="37"/>
    <tableColumn id="10" name="Vendor" dataDxfId="312" totalsRowDxfId="36"/>
    <tableColumn id="7" name="Unit Cost" dataDxfId="311" totalsRowDxfId="35" dataCellStyle="Percent"/>
    <tableColumn id="15" name="TOTAL" totalsRowFunction="custom" dataDxfId="71" totalsRowDxfId="34" dataCellStyle="Percent">
      <calculatedColumnFormula>Table1479101156[[#This Row],[Unit Cost]]*Table1479101156[[#This Row],[Quantity]]</calculatedColumnFormula>
      <totalsRowFormula>SUM(K6:K44)</totalsRowFormula>
    </tableColumn>
    <tableColumn id="11" name="STOCK" dataDxfId="310" totalsRowDxfId="33" dataCellStyle="Percent"/>
    <tableColumn id="16" name="Interim Value" dataDxfId="53" totalsRowDxfId="32" dataCellStyle="Percent">
      <calculatedColumnFormula>Table1479101156[[#This Row],[Quantity]]*Z6-Table1479101156[[#This Row],[STOCK]]</calculatedColumnFormula>
    </tableColumn>
    <tableColumn id="17" name="Kitting Quantity" dataDxfId="52" totalsRowDxfId="31" dataCellStyle="Percent">
      <calculatedColumnFormula>IF(Table1479101156[[#This Row],[Interim Value]]&lt;0,0,Table1479101156[[#This Row],[Interim Value]])</calculatedColumnFormula>
    </tableColumn>
    <tableColumn id="8" name="PRICE" dataDxfId="51" totalsRowDxfId="30" dataCellStyle="Comma">
      <calculatedColumnFormula>Table1479101156[[#This Row],[Kitting Quantity]]*Table1479101156[[#This Row],[Unit Cost]]</calculatedColumnFormula>
    </tableColumn>
    <tableColumn id="13" name="SUPPLIER NAME" dataDxfId="309" totalsRowDxfId="29"/>
    <tableColumn id="14" name="PAYMENT TERMS" dataDxfId="308" totalsRow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5:Q40" totalsRowShown="0" headerRowDxfId="307" dataDxfId="306" tableBorderDxfId="305">
  <autoFilter ref="A5:Q40">
    <filterColumn colId="10"/>
    <filterColumn colId="12"/>
    <filterColumn colId="13"/>
  </autoFilter>
  <tableColumns count="17">
    <tableColumn id="1" name="Item" dataDxfId="304" totalsRowDxfId="303"/>
    <tableColumn id="12" name="Raw Material Code" dataDxfId="302"/>
    <tableColumn id="2" name="Quantity" dataDxfId="301" totalsRowDxfId="300"/>
    <tableColumn id="3" name="Reference" dataDxfId="299" totalsRowDxfId="298"/>
    <tableColumn id="4" name="Part" dataDxfId="297" totalsRowDxfId="296"/>
    <tableColumn id="5" name="Package" dataDxfId="295" totalsRowDxfId="294"/>
    <tableColumn id="9" name="Tolerence" dataDxfId="293" totalsRowDxfId="292"/>
    <tableColumn id="6" name="Make" dataDxfId="291" totalsRowDxfId="290"/>
    <tableColumn id="10" name="Vendor" dataDxfId="289" totalsRowDxfId="288"/>
    <tableColumn id="7" name="Unit Cost" dataDxfId="287" totalsRowDxfId="286" dataCellStyle="Comma"/>
    <tableColumn id="15" name="TOTAL" dataDxfId="47" totalsRowDxfId="50" dataCellStyle="Comma">
      <calculatedColumnFormula>Table14[[#This Row],[Unit Cost]]*Table14[[#This Row],[Quantity]]</calculatedColumnFormula>
    </tableColumn>
    <tableColumn id="11" name="STOCK" dataDxfId="285" totalsRowDxfId="284" dataCellStyle="Comma"/>
    <tableColumn id="16" name="Interim Value" dataDxfId="27" totalsRowDxfId="49">
      <calculatedColumnFormula>Table14[[#This Row],[Unit Cost]]*Z6-Table14[[#This Row],[STOCK]]</calculatedColumnFormula>
    </tableColumn>
    <tableColumn id="17" name="Kitting Quantity" dataDxfId="46" totalsRowDxfId="48">
      <calculatedColumnFormula>IF(Table14[[#This Row],[Interim Value]]&lt;0,0,Table14[[#This Row],[Interim Value]])</calculatedColumnFormula>
    </tableColumn>
    <tableColumn id="8" name="PRICE" dataDxfId="26" totalsRowDxfId="283" dataCellStyle="Comma">
      <calculatedColumnFormula>Table14[[#This Row],[Kitting Quantity]]*Table14[[#This Row],[TOTAL]]</calculatedColumnFormula>
    </tableColumn>
    <tableColumn id="13" name="SUPPLIER NAME" dataDxfId="45" totalsRowDxfId="282"/>
    <tableColumn id="14" name="PAYMENT TERMS" dataDxfId="281" totalsRowDxfId="28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7" name="Table14678" displayName="Table14678" ref="A5:S43" totalsRowShown="0" headerRowDxfId="279" dataDxfId="278" tableBorderDxfId="277">
  <autoFilter ref="A5:S43">
    <filterColumn colId="12"/>
    <filterColumn colId="13"/>
  </autoFilter>
  <tableColumns count="19">
    <tableColumn id="1" name="Item" dataDxfId="276" totalsRowDxfId="275"/>
    <tableColumn id="12" name="Raw Material Code" dataDxfId="274"/>
    <tableColumn id="2" name="Quantity" dataDxfId="273" totalsRowDxfId="272"/>
    <tableColumn id="3" name="Reference" dataDxfId="271" totalsRowDxfId="270"/>
    <tableColumn id="4" name="Part" dataDxfId="269" totalsRowDxfId="268"/>
    <tableColumn id="5" name="Package" dataDxfId="267" totalsRowDxfId="266"/>
    <tableColumn id="9" name="Tolerence" dataDxfId="265" totalsRowDxfId="264"/>
    <tableColumn id="6" name="Make" dataDxfId="263" totalsRowDxfId="262"/>
    <tableColumn id="10" name="Vendor" dataDxfId="261" totalsRowDxfId="260"/>
    <tableColumn id="7" name="Unit Cost" dataDxfId="259" totalsRowDxfId="258" dataCellStyle="Comma"/>
    <tableColumn id="15" name="Total" dataDxfId="257" totalsRowDxfId="256" dataCellStyle="Comma">
      <calculatedColumnFormula>Table14678[[#This Row],[Unit Cost]]*Table14678[[#This Row],[Quantity]]</calculatedColumnFormula>
    </tableColumn>
    <tableColumn id="11" name="STOCK" dataDxfId="255" totalsRowDxfId="254" dataCellStyle="Comma"/>
    <tableColumn id="18" name="Interim Value" dataDxfId="19" totalsRowDxfId="25" dataCellStyle="Comma">
      <calculatedColumnFormula>Table14678[[#This Row],[Quantity]]*AB6-Table14678[[#This Row],[STOCK]]</calculatedColumnFormula>
    </tableColumn>
    <tableColumn id="19" name="Kitting Quantity" dataDxfId="23" totalsRowDxfId="24" dataCellStyle="Comma">
      <calculatedColumnFormula>IF(Table14678[[#This Row],[Interim Value]]&lt;0,0,Table14678[[#This Row],[Interim Value]])</calculatedColumnFormula>
    </tableColumn>
    <tableColumn id="8" name="PRICE" dataDxfId="22" totalsRowDxfId="253" dataCellStyle="Comma">
      <calculatedColumnFormula>Table14678[[#This Row],[Kitting Quantity]]*Table14678[[#This Row],[Total]]</calculatedColumnFormula>
    </tableColumn>
    <tableColumn id="13" name="SUPPLIER NAME" dataDxfId="252" totalsRowDxfId="251"/>
    <tableColumn id="14" name="PAYMENT TERMS" dataDxfId="250" totalsRowDxfId="249"/>
    <tableColumn id="16" name="shortage for 5k kit" dataDxfId="248" totalsRowDxfId="247"/>
    <tableColumn id="17" name="TOTAL COST" dataDxfId="246" totalsRowDxfId="245">
      <calculatedColumnFormula>Table14678[[#This Row],[shortage for 5k kit]]*Table14678[[#This Row],[Total]]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9" name="Table146710" displayName="Table146710" ref="A5:S43" totalsRowShown="0" headerRowDxfId="244" dataDxfId="242" headerRowBorderDxfId="243" tableBorderDxfId="241" totalsRowBorderDxfId="240">
  <autoFilter ref="A5:S43">
    <filterColumn colId="12"/>
    <filterColumn colId="13"/>
  </autoFilter>
  <tableColumns count="19">
    <tableColumn id="1" name="Item" dataDxfId="239" totalsRowDxfId="238"/>
    <tableColumn id="12" name="Raw Material Code" dataDxfId="237"/>
    <tableColumn id="2" name="Quantity" dataDxfId="236" totalsRowDxfId="235"/>
    <tableColumn id="3" name="Reference" dataDxfId="234" totalsRowDxfId="233"/>
    <tableColumn id="4" name="Part" dataDxfId="232" totalsRowDxfId="231"/>
    <tableColumn id="5" name="Package" dataDxfId="230" totalsRowDxfId="229"/>
    <tableColumn id="9" name="Tolerence" dataDxfId="228" totalsRowDxfId="227"/>
    <tableColumn id="6" name="Make" dataDxfId="226" totalsRowDxfId="225"/>
    <tableColumn id="10" name="Vendor" dataDxfId="224" totalsRowDxfId="223"/>
    <tableColumn id="7" name="Unit Cost" dataDxfId="222" totalsRowDxfId="221" dataCellStyle="Comma"/>
    <tableColumn id="15" name="Total" dataDxfId="220" totalsRowDxfId="219" dataCellStyle="Comma">
      <calculatedColumnFormula>Table146710[[#This Row],[Unit Cost]]*Table146710[[#This Row],[Quantity]]</calculatedColumnFormula>
    </tableColumn>
    <tableColumn id="11" name="STOCK" dataDxfId="218" totalsRowDxfId="217" dataCellStyle="Comma"/>
    <tableColumn id="20" name="Interim Value" dataDxfId="18" totalsRowDxfId="20" dataCellStyle="Comma">
      <calculatedColumnFormula>Table146710[[#This Row],[Quantity]]*AE6-Table146710[[#This Row],[STOCK]]</calculatedColumnFormula>
    </tableColumn>
    <tableColumn id="19" name="Kitting Quantity" dataDxfId="17" totalsRowDxfId="21" dataCellStyle="Comma">
      <calculatedColumnFormula>IF(Table146710[[#This Row],[Interim Value]]&lt;0,0,Table146710[[#This Row],[Interim Value]])</calculatedColumnFormula>
    </tableColumn>
    <tableColumn id="8" name="PRICE" dataDxfId="16" totalsRowDxfId="216" dataCellStyle="Comma">
      <calculatedColumnFormula>Table146710[[#This Row],[Kitting Quantity]]*Table146710[[#This Row],[Total]]</calculatedColumnFormula>
    </tableColumn>
    <tableColumn id="13" name="SUPPLIER NAME" dataDxfId="215" totalsRowDxfId="214"/>
    <tableColumn id="14" name="PAYMENT TERMS" dataDxfId="213" totalsRowDxfId="212"/>
    <tableColumn id="16" name="shortage for 5k kit" dataDxfId="211" totalsRowDxfId="210"/>
    <tableColumn id="17" name="TOTAL COST" dataDxfId="209" totalsRowDxfId="208">
      <calculatedColumnFormula>Table146710[[#This Row],[shortage for 5k kit]]*Table146710[[#This Row],[Total]]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0" name="Table14671011" displayName="Table14671011" ref="A5:Q43" totalsRowShown="0" headerRowDxfId="207" dataDxfId="205" headerRowBorderDxfId="206" tableBorderDxfId="204" totalsRowBorderDxfId="203">
  <autoFilter ref="A5:Q43">
    <filterColumn colId="12"/>
    <filterColumn colId="13"/>
  </autoFilter>
  <tableColumns count="17">
    <tableColumn id="1" name="Item" dataDxfId="202" totalsRowDxfId="201"/>
    <tableColumn id="12" name="Raw Material Code" dataDxfId="200"/>
    <tableColumn id="2" name="Quantity" dataDxfId="199" totalsRowDxfId="198"/>
    <tableColumn id="3" name="Reference" dataDxfId="197" totalsRowDxfId="196"/>
    <tableColumn id="4" name="Part" dataDxfId="195" totalsRowDxfId="194"/>
    <tableColumn id="5" name="Package" dataDxfId="193" totalsRowDxfId="192"/>
    <tableColumn id="9" name="Tolerence" dataDxfId="191" totalsRowDxfId="190"/>
    <tableColumn id="6" name="Make" dataDxfId="189" totalsRowDxfId="188"/>
    <tableColumn id="10" name="Vendor" dataDxfId="187" totalsRowDxfId="186"/>
    <tableColumn id="7" name="Unit Cost" dataDxfId="185" totalsRowDxfId="184" dataCellStyle="Comma"/>
    <tableColumn id="15" name="Total" dataDxfId="183" totalsRowDxfId="182" dataCellStyle="Comma">
      <calculatedColumnFormula>Table14671011[[#This Row],[Unit Cost]]*Table14671011[[#This Row],[Quantity]]</calculatedColumnFormula>
    </tableColumn>
    <tableColumn id="11" name="STOCK" dataDxfId="181" totalsRowDxfId="180" dataCellStyle="Comma"/>
    <tableColumn id="16" name="Interim Value" dataDxfId="13" totalsRowDxfId="15" dataCellStyle="Comma">
      <calculatedColumnFormula>Table14671011[[#This Row],[Quantity]]*AD6-Table14671011[[#This Row],[STOCK]]</calculatedColumnFormula>
    </tableColumn>
    <tableColumn id="17" name="Kitting Quantity" dataDxfId="12" totalsRowDxfId="14" dataCellStyle="Comma">
      <calculatedColumnFormula>IF(Table14671011[[#This Row],[Interim Value]]&lt;0,0,Table14671011[[#This Row],[Interim Value]])</calculatedColumnFormula>
    </tableColumn>
    <tableColumn id="8" name="PRICE" dataDxfId="11" totalsRowDxfId="179" dataCellStyle="Comma">
      <calculatedColumnFormula>Table14671011[[#This Row],[Kitting Quantity]]*Table14671011[[#This Row],[Total]]</calculatedColumnFormula>
    </tableColumn>
    <tableColumn id="13" name="SUPPLIER NAME" dataDxfId="178" totalsRowDxfId="177"/>
    <tableColumn id="14" name="PAYMENT TERMS" dataDxfId="176" totalsRowDxfId="17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6" name="Table1467" displayName="Table1467" ref="A5:R43" totalsRowShown="0" headerRowDxfId="174" dataDxfId="172" headerRowBorderDxfId="173" tableBorderDxfId="171" totalsRowBorderDxfId="170">
  <autoFilter ref="A5:R43">
    <filterColumn colId="13"/>
  </autoFilter>
  <tableColumns count="18">
    <tableColumn id="1" name="Item" dataDxfId="169" totalsRowDxfId="168"/>
    <tableColumn id="12" name="Raw Material Code" dataDxfId="167"/>
    <tableColumn id="2" name="Quantity" dataDxfId="166" totalsRowDxfId="165"/>
    <tableColumn id="3" name="Reference" dataDxfId="164" totalsRowDxfId="163"/>
    <tableColumn id="4" name="Part" dataDxfId="162" totalsRowDxfId="161"/>
    <tableColumn id="5" name="Package" dataDxfId="160" totalsRowDxfId="159"/>
    <tableColumn id="9" name="Tolerence" dataDxfId="158" totalsRowDxfId="157"/>
    <tableColumn id="6" name="Make" dataDxfId="156" totalsRowDxfId="155"/>
    <tableColumn id="10" name="Vendor" dataDxfId="154" totalsRowDxfId="153"/>
    <tableColumn id="7" name="Unit Cost" dataDxfId="152" totalsRowDxfId="151" dataCellStyle="Comma"/>
    <tableColumn id="15" name="Total" dataDxfId="150" totalsRowDxfId="149" dataCellStyle="Comma">
      <calculatedColumnFormula>Table1467[[#This Row],[Unit Cost]]*Table1467[[#This Row],[Quantity]]</calculatedColumnFormula>
    </tableColumn>
    <tableColumn id="11" name="STOCK" dataDxfId="148" totalsRowDxfId="147" dataCellStyle="Comma"/>
    <tableColumn id="17" name="Interim Value" dataDxfId="146" dataCellStyle="Comma">
      <calculatedColumnFormula>Table1467[[#This Row],[Quantity]]*AB6-Table1467[[#This Row],[STOCK]]</calculatedColumnFormula>
    </tableColumn>
    <tableColumn id="18" name="Interim Value2" dataDxfId="10" dataCellStyle="Comma">
      <calculatedColumnFormula>Table1467[[#This Row],[Quantity]]*AB6-Table1467[[#This Row],[STOCK]]</calculatedColumnFormula>
    </tableColumn>
    <tableColumn id="16" name="Kitting Quantity" dataDxfId="145" totalsRowDxfId="144" dataCellStyle="Comma">
      <calculatedColumnFormula>IF(Table1467[[#This Row],[Interim Value]]&lt;0,0,Table1467[[#This Row],[Interim Value]])</calculatedColumnFormula>
    </tableColumn>
    <tableColumn id="8" name="PRICE" dataDxfId="9" totalsRowDxfId="143" dataCellStyle="Comma">
      <calculatedColumnFormula>Table1467[[#This Row],[Kitting Quantity]]*Table1467[[#This Row],[Total]]</calculatedColumnFormula>
    </tableColumn>
    <tableColumn id="13" name="SUPPLIER NAME" dataDxfId="142" totalsRowDxfId="141"/>
    <tableColumn id="14" name="PAYMENT TERMS" dataDxfId="140" totalsRowDxfId="13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5" name="Table146" displayName="Table146" ref="A5:Q43" totalsRowShown="0" headerRowDxfId="138" dataDxfId="136" headerRowBorderDxfId="137" tableBorderDxfId="135" totalsRowBorderDxfId="134">
  <autoFilter ref="A5:Q43">
    <filterColumn colId="12"/>
    <filterColumn colId="13"/>
  </autoFilter>
  <tableColumns count="17">
    <tableColumn id="1" name="Item" dataDxfId="133" totalsRowDxfId="132"/>
    <tableColumn id="12" name="Raw Material Code" dataDxfId="131"/>
    <tableColumn id="2" name="Quantity" dataDxfId="130" totalsRowDxfId="129"/>
    <tableColumn id="3" name="Reference" dataDxfId="128" totalsRowDxfId="127"/>
    <tableColumn id="4" name="Part" dataDxfId="126" totalsRowDxfId="125"/>
    <tableColumn id="5" name="Package" dataDxfId="124" totalsRowDxfId="123"/>
    <tableColumn id="9" name="Tolerence" dataDxfId="122" totalsRowDxfId="121"/>
    <tableColumn id="6" name="Make" dataDxfId="120" totalsRowDxfId="119"/>
    <tableColumn id="10" name="Vendor" dataDxfId="118" totalsRowDxfId="117"/>
    <tableColumn id="7" name="Unit Cost" dataDxfId="116" totalsRowDxfId="115" dataCellStyle="Comma"/>
    <tableColumn id="15" name="Total" dataDxfId="114" totalsRowDxfId="113" dataCellStyle="Comma">
      <calculatedColumnFormula>Table146[[#This Row],[Unit Cost]]*Table146[[#This Row],[Quantity]]</calculatedColumnFormula>
    </tableColumn>
    <tableColumn id="11" name="STOCK" dataDxfId="112" totalsRowDxfId="111" dataCellStyle="Comma"/>
    <tableColumn id="16" name="Interim Value2" dataDxfId="6" totalsRowDxfId="8" dataCellStyle="Comma">
      <calculatedColumnFormula>Table146[[#This Row],[Quantity]]*Z6-Table146[[#This Row],[STOCK]]</calculatedColumnFormula>
    </tableColumn>
    <tableColumn id="17" name="Kitting Quantity" dataDxfId="5" totalsRowDxfId="7" dataCellStyle="Comma">
      <calculatedColumnFormula>IF(Table146[[#This Row],[Interim Value2]]&lt;0,0,Table146[[#This Row],[Interim Value2]])</calculatedColumnFormula>
    </tableColumn>
    <tableColumn id="8" name="PRICE" dataDxfId="110" totalsRowDxfId="109" dataCellStyle="Comma">
      <calculatedColumnFormula>Table146[[#This Row],[STOCK]]*Table146[[#This Row],[Unit Cost]]</calculatedColumnFormula>
    </tableColumn>
    <tableColumn id="13" name="SUPPLIER NAME" dataDxfId="108" totalsRowDxfId="107"/>
    <tableColumn id="14" name="PAYMENT TERMS" dataDxfId="106" totalsRowDxfId="10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8" name="Table1469" displayName="Table1469" ref="A5:Q43" totalsRowShown="0" headerRowDxfId="104" dataDxfId="102" headerRowBorderDxfId="103" tableBorderDxfId="101" totalsRowBorderDxfId="100">
  <autoFilter ref="A5:Q43">
    <filterColumn colId="12"/>
    <filterColumn colId="13"/>
  </autoFilter>
  <tableColumns count="17">
    <tableColumn id="1" name="Item" dataDxfId="99" totalsRowDxfId="98"/>
    <tableColumn id="12" name="Raw Material Code" dataDxfId="97"/>
    <tableColumn id="2" name="Quantity" dataDxfId="96" totalsRowDxfId="95"/>
    <tableColumn id="3" name="Reference" dataDxfId="94" totalsRowDxfId="93"/>
    <tableColumn id="4" name="Part" dataDxfId="92" totalsRowDxfId="91"/>
    <tableColumn id="5" name="Package" dataDxfId="90" totalsRowDxfId="89"/>
    <tableColumn id="9" name="Tolerence" dataDxfId="88" totalsRowDxfId="87"/>
    <tableColumn id="6" name="Make" dataDxfId="86" totalsRowDxfId="85"/>
    <tableColumn id="10" name="Vendor" dataDxfId="84" totalsRowDxfId="83"/>
    <tableColumn id="7" name="Unit Cost" dataDxfId="82" totalsRowDxfId="81" dataCellStyle="Comma"/>
    <tableColumn id="15" name="Total" dataDxfId="80" totalsRowDxfId="79" dataCellStyle="Comma">
      <calculatedColumnFormula>Table1469[[#This Row],[Unit Cost]]*Table1469[[#This Row],[Quantity]]</calculatedColumnFormula>
    </tableColumn>
    <tableColumn id="11" name="STOCK" dataDxfId="78" totalsRowDxfId="77" dataCellStyle="Comma"/>
    <tableColumn id="17" name="Interim Value" dataDxfId="2" totalsRowDxfId="3">
      <calculatedColumnFormula>Table1469[[#This Row],[Quantity]]*Z6-Table1469[[#This Row],[STOCK]]</calculatedColumnFormula>
    </tableColumn>
    <tableColumn id="16" name="Kitting Quantity" dataDxfId="1" totalsRowDxfId="4">
      <calculatedColumnFormula>IF(Table1469[[#This Row],[Interim Value]]&lt;0,0,Table1469[[#This Row],[Interim Value]])</calculatedColumnFormula>
    </tableColumn>
    <tableColumn id="8" name="PRICE" dataDxfId="0" totalsRowDxfId="76" dataCellStyle="Comma">
      <calculatedColumnFormula>Table1469[[#This Row],[Kitting Quantity]]*Table1469[[#This Row],[Total]]</calculatedColumnFormula>
    </tableColumn>
    <tableColumn id="13" name="SUPPLIER NAME" dataDxfId="75" totalsRowDxfId="74"/>
    <tableColumn id="14" name="PAYMENT TERMS" dataDxfId="73" totalsRowDxfId="7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0"/>
  <sheetViews>
    <sheetView topLeftCell="F25" workbookViewId="0">
      <selection activeCell="G46" sqref="G46"/>
    </sheetView>
  </sheetViews>
  <sheetFormatPr defaultRowHeight="15"/>
  <cols>
    <col min="2" max="2" width="18.42578125" style="1" customWidth="1"/>
    <col min="3" max="3" width="12.42578125" bestFit="1" customWidth="1"/>
    <col min="4" max="4" width="13.5703125" bestFit="1" customWidth="1"/>
    <col min="5" max="5" width="19" bestFit="1" customWidth="1"/>
    <col min="6" max="6" width="13.85546875" customWidth="1"/>
    <col min="7" max="7" width="13.28515625" customWidth="1"/>
    <col min="8" max="8" width="28" customWidth="1"/>
    <col min="9" max="9" width="38.28515625" customWidth="1"/>
    <col min="10" max="11" width="13.85546875" style="198" customWidth="1"/>
    <col min="12" max="12" width="17" style="75" bestFit="1" customWidth="1"/>
    <col min="13" max="14" width="17" style="75" customWidth="1"/>
    <col min="15" max="15" width="13.28515625" style="75" bestFit="1" customWidth="1"/>
    <col min="16" max="16" width="23.140625" customWidth="1"/>
    <col min="17" max="17" width="19.85546875" bestFit="1" customWidth="1"/>
    <col min="27" max="27" width="9.140625" customWidth="1"/>
  </cols>
  <sheetData>
    <row r="1" spans="1:27" ht="16.5" thickBot="1">
      <c r="A1" s="348" t="s">
        <v>138</v>
      </c>
      <c r="B1" s="348"/>
      <c r="C1" s="349" t="s">
        <v>198</v>
      </c>
      <c r="D1" s="349"/>
      <c r="E1" s="7"/>
      <c r="F1" s="8"/>
      <c r="G1" s="8"/>
      <c r="H1" s="8"/>
      <c r="I1" s="8"/>
      <c r="J1" s="194"/>
      <c r="K1" s="194"/>
      <c r="L1" s="328" t="s">
        <v>514</v>
      </c>
      <c r="M1" s="333"/>
      <c r="N1" s="327">
        <f>'Detail-Planner'!E5</f>
        <v>0</v>
      </c>
      <c r="O1"/>
    </row>
    <row r="2" spans="1:27">
      <c r="A2" s="8"/>
      <c r="B2" s="91"/>
      <c r="C2" s="8"/>
      <c r="D2" s="8"/>
      <c r="E2" s="7"/>
      <c r="F2" s="8"/>
      <c r="G2" s="8"/>
      <c r="H2" s="8"/>
      <c r="I2" s="8"/>
      <c r="J2" s="194"/>
      <c r="K2" s="194"/>
      <c r="L2" s="73"/>
      <c r="M2" s="73"/>
      <c r="N2" s="73"/>
      <c r="O2" s="73"/>
    </row>
    <row r="3" spans="1:27">
      <c r="A3" s="350" t="s">
        <v>497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27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27">
      <c r="A5" s="22" t="s">
        <v>0</v>
      </c>
      <c r="B5" s="23" t="s">
        <v>139</v>
      </c>
      <c r="C5" s="23" t="s">
        <v>1</v>
      </c>
      <c r="D5" s="23" t="s">
        <v>2</v>
      </c>
      <c r="E5" s="23" t="s">
        <v>3</v>
      </c>
      <c r="F5" s="23" t="s">
        <v>140</v>
      </c>
      <c r="G5" s="23" t="s">
        <v>141</v>
      </c>
      <c r="H5" s="23" t="s">
        <v>142</v>
      </c>
      <c r="I5" s="23" t="s">
        <v>143</v>
      </c>
      <c r="J5" s="195" t="s">
        <v>470</v>
      </c>
      <c r="K5" s="195" t="s">
        <v>476</v>
      </c>
      <c r="L5" s="103" t="s">
        <v>347</v>
      </c>
      <c r="M5" s="23" t="s">
        <v>517</v>
      </c>
      <c r="N5" s="23" t="s">
        <v>514</v>
      </c>
      <c r="O5" s="86" t="s">
        <v>144</v>
      </c>
      <c r="P5" s="151" t="s">
        <v>360</v>
      </c>
      <c r="Q5" s="151" t="s">
        <v>361</v>
      </c>
    </row>
    <row r="6" spans="1:27" s="1" customFormat="1">
      <c r="A6" s="24">
        <v>1</v>
      </c>
      <c r="B6" s="11" t="s">
        <v>4</v>
      </c>
      <c r="C6" s="12">
        <v>1</v>
      </c>
      <c r="D6" s="13" t="s">
        <v>5</v>
      </c>
      <c r="E6" s="14" t="s">
        <v>145</v>
      </c>
      <c r="F6" s="13" t="s">
        <v>146</v>
      </c>
      <c r="G6" s="13" t="s">
        <v>88</v>
      </c>
      <c r="H6" s="14" t="s">
        <v>147</v>
      </c>
      <c r="I6" s="11" t="s">
        <v>148</v>
      </c>
      <c r="J6" s="149">
        <v>2.6</v>
      </c>
      <c r="K6" s="149">
        <f>Table13[[#This Row],[Quantity]]*Table13[[#This Row],[Unit Cost]]</f>
        <v>2.6</v>
      </c>
      <c r="L6" s="74">
        <v>5980</v>
      </c>
      <c r="M6" s="74">
        <f>Table13[[#This Row],[Quantity]]*AA6-Table13[[#This Row],[STOCK]]</f>
        <v>-5980</v>
      </c>
      <c r="N6" s="74">
        <f>IF(Table13[[#This Row],[Interim Value]]&lt;0,0,Table13[[#This Row],[Interim Value]])</f>
        <v>0</v>
      </c>
      <c r="O6" s="105">
        <f>Table13[[#This Row],[Kitting Quantity]]*Table13[[#This Row],[Unit Cost]]</f>
        <v>0</v>
      </c>
      <c r="P6" s="11" t="s">
        <v>292</v>
      </c>
      <c r="Q6" s="11" t="s">
        <v>362</v>
      </c>
      <c r="AA6" s="1">
        <f>N1</f>
        <v>0</v>
      </c>
    </row>
    <row r="7" spans="1:27">
      <c r="A7" s="24">
        <v>2</v>
      </c>
      <c r="B7" s="11" t="s">
        <v>12</v>
      </c>
      <c r="C7" s="12">
        <v>1</v>
      </c>
      <c r="D7" s="13" t="s">
        <v>87</v>
      </c>
      <c r="E7" s="13" t="s">
        <v>149</v>
      </c>
      <c r="F7" s="13" t="s">
        <v>15</v>
      </c>
      <c r="G7" s="13" t="s">
        <v>86</v>
      </c>
      <c r="H7" s="13" t="s">
        <v>150</v>
      </c>
      <c r="I7" s="11" t="s">
        <v>151</v>
      </c>
      <c r="J7" s="149">
        <v>0.6</v>
      </c>
      <c r="K7" s="149">
        <f>Table13[[#This Row],[Quantity]]*Table13[[#This Row],[Unit Cost]]</f>
        <v>0.6</v>
      </c>
      <c r="L7" s="74">
        <v>30000</v>
      </c>
      <c r="M7" s="74">
        <f>Table13[[#This Row],[Quantity]]*AA7-Table13[[#This Row],[STOCK]]</f>
        <v>-30000</v>
      </c>
      <c r="N7" s="74">
        <f>IF(Table13[[#This Row],[Interim Value]]&lt;0,0,Table13[[#This Row],[Interim Value]])</f>
        <v>0</v>
      </c>
      <c r="O7" s="105">
        <f>Table13[[#This Row],[Kitting Quantity]]*Table13[[#This Row],[Unit Cost]]</f>
        <v>0</v>
      </c>
      <c r="P7" s="11" t="s">
        <v>363</v>
      </c>
      <c r="Q7" s="11" t="s">
        <v>362</v>
      </c>
      <c r="AA7">
        <f>N1</f>
        <v>0</v>
      </c>
    </row>
    <row r="8" spans="1:27">
      <c r="A8" s="24">
        <v>3</v>
      </c>
      <c r="B8" s="11" t="s">
        <v>16</v>
      </c>
      <c r="C8" s="12">
        <v>1</v>
      </c>
      <c r="D8" s="13" t="s">
        <v>17</v>
      </c>
      <c r="E8" s="13" t="s">
        <v>152</v>
      </c>
      <c r="F8" s="13" t="s">
        <v>18</v>
      </c>
      <c r="G8" s="13" t="s">
        <v>90</v>
      </c>
      <c r="H8" s="13" t="s">
        <v>153</v>
      </c>
      <c r="I8" s="11" t="s">
        <v>151</v>
      </c>
      <c r="J8" s="149">
        <v>0.2</v>
      </c>
      <c r="K8" s="149">
        <f>Table13[[#This Row],[Quantity]]*Table13[[#This Row],[Unit Cost]]</f>
        <v>0.2</v>
      </c>
      <c r="L8" s="74">
        <v>16000</v>
      </c>
      <c r="M8" s="74">
        <f>Table13[[#This Row],[Quantity]]*AA8-Table13[[#This Row],[STOCK]]</f>
        <v>-16000</v>
      </c>
      <c r="N8" s="74">
        <f>IF(Table13[[#This Row],[Interim Value]]&lt;0,0,Table13[[#This Row],[Interim Value]])</f>
        <v>0</v>
      </c>
      <c r="O8" s="105">
        <f>Table13[[#This Row],[Kitting Quantity]]*Table13[[#This Row],[Unit Cost]]</f>
        <v>0</v>
      </c>
      <c r="P8" s="11" t="s">
        <v>292</v>
      </c>
      <c r="Q8" s="11" t="s">
        <v>362</v>
      </c>
      <c r="AA8">
        <f>N1</f>
        <v>0</v>
      </c>
    </row>
    <row r="9" spans="1:27">
      <c r="A9" s="24">
        <v>4</v>
      </c>
      <c r="B9" s="11" t="s">
        <v>19</v>
      </c>
      <c r="C9" s="12">
        <v>1</v>
      </c>
      <c r="D9" s="13" t="s">
        <v>20</v>
      </c>
      <c r="E9" s="13" t="s">
        <v>154</v>
      </c>
      <c r="F9" s="13" t="s">
        <v>18</v>
      </c>
      <c r="G9" s="13" t="s">
        <v>90</v>
      </c>
      <c r="H9" s="13" t="s">
        <v>153</v>
      </c>
      <c r="I9" s="11" t="s">
        <v>151</v>
      </c>
      <c r="J9" s="149">
        <v>0.35</v>
      </c>
      <c r="K9" s="149">
        <f>Table13[[#This Row],[Quantity]]*Table13[[#This Row],[Unit Cost]]</f>
        <v>0.35</v>
      </c>
      <c r="L9" s="74">
        <v>18000</v>
      </c>
      <c r="M9" s="74">
        <f>Table13[[#This Row],[Quantity]]*AA9-Table13[[#This Row],[STOCK]]</f>
        <v>-18000</v>
      </c>
      <c r="N9" s="74">
        <f>IF(Table13[[#This Row],[Interim Value]]&lt;0,0,Table13[[#This Row],[Interim Value]])</f>
        <v>0</v>
      </c>
      <c r="O9" s="105">
        <f>Table13[[#This Row],[Kitting Quantity]]*Table13[[#This Row],[Unit Cost]]</f>
        <v>0</v>
      </c>
      <c r="P9" s="11" t="s">
        <v>292</v>
      </c>
      <c r="Q9" s="11" t="s">
        <v>362</v>
      </c>
      <c r="AA9">
        <f>N1</f>
        <v>0</v>
      </c>
    </row>
    <row r="10" spans="1:27">
      <c r="A10" s="24">
        <v>5</v>
      </c>
      <c r="B10" s="11" t="s">
        <v>21</v>
      </c>
      <c r="C10" s="12">
        <v>1</v>
      </c>
      <c r="D10" s="13" t="s">
        <v>22</v>
      </c>
      <c r="E10" s="13" t="s">
        <v>155</v>
      </c>
      <c r="F10" s="13" t="s">
        <v>18</v>
      </c>
      <c r="G10" s="13" t="s">
        <v>90</v>
      </c>
      <c r="H10" s="13" t="s">
        <v>153</v>
      </c>
      <c r="I10" s="11" t="s">
        <v>151</v>
      </c>
      <c r="J10" s="149">
        <v>0.2</v>
      </c>
      <c r="K10" s="149">
        <f>Table13[[#This Row],[Quantity]]*Table13[[#This Row],[Unit Cost]]</f>
        <v>0.2</v>
      </c>
      <c r="L10" s="74">
        <v>16000</v>
      </c>
      <c r="M10" s="74">
        <f>Table13[[#This Row],[Quantity]]*AA10-Table13[[#This Row],[STOCK]]</f>
        <v>-16000</v>
      </c>
      <c r="N10" s="74">
        <f>IF(Table13[[#This Row],[Interim Value]]&lt;0,0,Table13[[#This Row],[Interim Value]])</f>
        <v>0</v>
      </c>
      <c r="O10" s="105">
        <f>Table13[[#This Row],[Kitting Quantity]]*Table13[[#This Row],[Unit Cost]]</f>
        <v>0</v>
      </c>
      <c r="P10" s="11" t="s">
        <v>292</v>
      </c>
      <c r="Q10" s="11" t="s">
        <v>362</v>
      </c>
      <c r="AA10">
        <f>N1</f>
        <v>0</v>
      </c>
    </row>
    <row r="11" spans="1:27" s="114" customFormat="1">
      <c r="A11" s="108">
        <v>6</v>
      </c>
      <c r="B11" s="109" t="s">
        <v>12</v>
      </c>
      <c r="C11" s="110">
        <v>1</v>
      </c>
      <c r="D11" s="111" t="s">
        <v>95</v>
      </c>
      <c r="E11" s="111" t="s">
        <v>94</v>
      </c>
      <c r="F11" s="111" t="s">
        <v>15</v>
      </c>
      <c r="G11" s="111" t="s">
        <v>86</v>
      </c>
      <c r="H11" s="111" t="s">
        <v>150</v>
      </c>
      <c r="I11" s="109" t="s">
        <v>151</v>
      </c>
      <c r="J11" s="193">
        <v>0.6</v>
      </c>
      <c r="K11" s="193">
        <f>Table13[[#This Row],[Quantity]]*Table13[[#This Row],[Unit Cost]]</f>
        <v>0.6</v>
      </c>
      <c r="L11" s="112">
        <v>0</v>
      </c>
      <c r="M11" s="112">
        <f>Table13[[#This Row],[Quantity]]*AA11-Table13[[#This Row],[STOCK]]</f>
        <v>0</v>
      </c>
      <c r="N11" s="112">
        <f>IF(Table13[[#This Row],[Interim Value]]&lt;0,0,Table13[[#This Row],[Interim Value]])</f>
        <v>0</v>
      </c>
      <c r="O11" s="113">
        <f>Table13[[#This Row],[Kitting Quantity]]*Table13[[#This Row],[Unit Cost]]</f>
        <v>0</v>
      </c>
      <c r="P11" s="11" t="s">
        <v>363</v>
      </c>
      <c r="Q11" s="11" t="s">
        <v>362</v>
      </c>
      <c r="AA11" s="114">
        <f>N1</f>
        <v>0</v>
      </c>
    </row>
    <row r="12" spans="1:27" s="114" customFormat="1">
      <c r="A12" s="108">
        <v>7</v>
      </c>
      <c r="B12" s="109" t="s">
        <v>12</v>
      </c>
      <c r="C12" s="110">
        <v>1</v>
      </c>
      <c r="D12" s="111" t="s">
        <v>97</v>
      </c>
      <c r="E12" s="111" t="s">
        <v>149</v>
      </c>
      <c r="F12" s="111" t="s">
        <v>15</v>
      </c>
      <c r="G12" s="111" t="s">
        <v>86</v>
      </c>
      <c r="H12" s="111" t="s">
        <v>150</v>
      </c>
      <c r="I12" s="109" t="s">
        <v>151</v>
      </c>
      <c r="J12" s="193">
        <v>0.6</v>
      </c>
      <c r="K12" s="193">
        <f>Table13[[#This Row],[Quantity]]*Table13[[#This Row],[Unit Cost]]</f>
        <v>0.6</v>
      </c>
      <c r="L12" s="112">
        <v>0</v>
      </c>
      <c r="M12" s="112">
        <f>Table13[[#This Row],[Quantity]]*AA12-Table13[[#This Row],[STOCK]]</f>
        <v>0</v>
      </c>
      <c r="N12" s="112">
        <f>IF(Table13[[#This Row],[Interim Value]]&lt;0,0,Table13[[#This Row],[Interim Value]])</f>
        <v>0</v>
      </c>
      <c r="O12" s="113">
        <f>Table13[[#This Row],[Kitting Quantity]]*Table13[[#This Row],[Unit Cost]]</f>
        <v>0</v>
      </c>
      <c r="P12" s="11" t="s">
        <v>363</v>
      </c>
      <c r="Q12" s="11" t="s">
        <v>362</v>
      </c>
      <c r="AA12" s="114">
        <f>N1</f>
        <v>0</v>
      </c>
    </row>
    <row r="13" spans="1:27" s="1" customFormat="1">
      <c r="A13" s="24">
        <v>8</v>
      </c>
      <c r="B13" s="11" t="s">
        <v>23</v>
      </c>
      <c r="C13" s="12">
        <v>1</v>
      </c>
      <c r="D13" s="13" t="s">
        <v>24</v>
      </c>
      <c r="E13" s="14" t="s">
        <v>156</v>
      </c>
      <c r="F13" s="13" t="s">
        <v>157</v>
      </c>
      <c r="G13" s="13" t="s">
        <v>86</v>
      </c>
      <c r="H13" s="13" t="s">
        <v>158</v>
      </c>
      <c r="I13" s="11" t="s">
        <v>159</v>
      </c>
      <c r="J13" s="149">
        <v>0.8</v>
      </c>
      <c r="K13" s="149">
        <f>Table13[[#This Row],[Quantity]]*Table13[[#This Row],[Unit Cost]]</f>
        <v>0.8</v>
      </c>
      <c r="L13" s="74">
        <v>700</v>
      </c>
      <c r="M13" s="74">
        <f>Table13[[#This Row],[Quantity]]*AA13-Table13[[#This Row],[STOCK]]</f>
        <v>-700</v>
      </c>
      <c r="N13" s="74">
        <f>IF(Table13[[#This Row],[Interim Value]]&lt;0,0,Table13[[#This Row],[Interim Value]])</f>
        <v>0</v>
      </c>
      <c r="O13" s="105">
        <f>Table13[[#This Row],[Kitting Quantity]]*Table13[[#This Row],[Unit Cost]]</f>
        <v>0</v>
      </c>
      <c r="P13" s="11" t="s">
        <v>364</v>
      </c>
      <c r="Q13" s="11" t="s">
        <v>365</v>
      </c>
      <c r="AA13" s="1">
        <f>N1</f>
        <v>0</v>
      </c>
    </row>
    <row r="14" spans="1:27">
      <c r="A14" s="24">
        <v>9</v>
      </c>
      <c r="B14" s="11" t="s">
        <v>8</v>
      </c>
      <c r="C14" s="12">
        <v>2</v>
      </c>
      <c r="D14" s="13" t="s">
        <v>9</v>
      </c>
      <c r="E14" s="13" t="s">
        <v>160</v>
      </c>
      <c r="F14" s="13" t="s">
        <v>161</v>
      </c>
      <c r="G14" s="13" t="s">
        <v>86</v>
      </c>
      <c r="H14" s="13" t="s">
        <v>162</v>
      </c>
      <c r="I14" s="11" t="s">
        <v>163</v>
      </c>
      <c r="J14" s="149">
        <v>3.6</v>
      </c>
      <c r="K14" s="149">
        <f>Table13[[#This Row],[Quantity]]*Table13[[#This Row],[Unit Cost]]</f>
        <v>7.2</v>
      </c>
      <c r="L14" s="74">
        <v>300</v>
      </c>
      <c r="M14" s="74">
        <f>Table13[[#This Row],[Quantity]]*AA14-Table13[[#This Row],[STOCK]]</f>
        <v>-300</v>
      </c>
      <c r="N14" s="74">
        <f>IF(Table13[[#This Row],[Interim Value]]&lt;0,0,Table13[[#This Row],[Interim Value]])</f>
        <v>0</v>
      </c>
      <c r="O14" s="105">
        <f>Table13[[#This Row],[Kitting Quantity]]*Table13[[#This Row],[Unit Cost]]</f>
        <v>0</v>
      </c>
      <c r="P14" s="11" t="s">
        <v>363</v>
      </c>
      <c r="Q14" s="11" t="s">
        <v>362</v>
      </c>
      <c r="AA14">
        <f>N1</f>
        <v>0</v>
      </c>
    </row>
    <row r="15" spans="1:27" s="1" customFormat="1">
      <c r="A15" s="24">
        <v>10</v>
      </c>
      <c r="B15" s="11" t="s">
        <v>27</v>
      </c>
      <c r="C15" s="12">
        <v>1</v>
      </c>
      <c r="D15" s="13" t="s">
        <v>28</v>
      </c>
      <c r="E15" s="13" t="s">
        <v>29</v>
      </c>
      <c r="F15" s="13" t="s">
        <v>164</v>
      </c>
      <c r="G15" s="13" t="s">
        <v>88</v>
      </c>
      <c r="H15" s="14" t="s">
        <v>147</v>
      </c>
      <c r="I15" s="11" t="s">
        <v>151</v>
      </c>
      <c r="J15" s="149">
        <v>3.5</v>
      </c>
      <c r="K15" s="149">
        <f>Table13[[#This Row],[Quantity]]*Table13[[#This Row],[Unit Cost]]</f>
        <v>3.5</v>
      </c>
      <c r="L15" s="74">
        <v>8400</v>
      </c>
      <c r="M15" s="74">
        <f>Table13[[#This Row],[Quantity]]*AA15-Table13[[#This Row],[STOCK]]</f>
        <v>-8400</v>
      </c>
      <c r="N15" s="74">
        <f>IF(Table13[[#This Row],[Interim Value]]&lt;0,0,Table13[[#This Row],[Interim Value]])</f>
        <v>0</v>
      </c>
      <c r="O15" s="105">
        <f>Table13[[#This Row],[Kitting Quantity]]*Table13[[#This Row],[Unit Cost]]</f>
        <v>0</v>
      </c>
      <c r="P15" s="11" t="s">
        <v>292</v>
      </c>
      <c r="Q15" s="11" t="s">
        <v>362</v>
      </c>
      <c r="AA15" s="1">
        <f>N1</f>
        <v>0</v>
      </c>
    </row>
    <row r="16" spans="1:27">
      <c r="A16" s="24">
        <v>11</v>
      </c>
      <c r="B16" s="11" t="s">
        <v>31</v>
      </c>
      <c r="C16" s="12">
        <v>3</v>
      </c>
      <c r="D16" s="13" t="s">
        <v>32</v>
      </c>
      <c r="E16" s="14" t="s">
        <v>165</v>
      </c>
      <c r="F16" s="13" t="s">
        <v>33</v>
      </c>
      <c r="G16" s="13" t="s">
        <v>88</v>
      </c>
      <c r="H16" s="14" t="s">
        <v>147</v>
      </c>
      <c r="I16" s="11" t="s">
        <v>151</v>
      </c>
      <c r="J16" s="149">
        <v>0.45</v>
      </c>
      <c r="K16" s="149">
        <f>Table13[[#This Row],[Quantity]]*Table13[[#This Row],[Unit Cost]]</f>
        <v>1.35</v>
      </c>
      <c r="L16" s="74">
        <v>0</v>
      </c>
      <c r="M16" s="74">
        <f>Table13[[#This Row],[Quantity]]*AA16-Table13[[#This Row],[STOCK]]</f>
        <v>0</v>
      </c>
      <c r="N16" s="74">
        <f>IF(Table13[[#This Row],[Interim Value]]&lt;0,0,Table13[[#This Row],[Interim Value]])</f>
        <v>0</v>
      </c>
      <c r="O16" s="105">
        <f>Table13[[#This Row],[Kitting Quantity]]*Table13[[#This Row],[Unit Cost]]</f>
        <v>0</v>
      </c>
      <c r="P16" s="11" t="s">
        <v>292</v>
      </c>
      <c r="Q16" s="11" t="s">
        <v>362</v>
      </c>
      <c r="AA16">
        <f>N1</f>
        <v>0</v>
      </c>
    </row>
    <row r="17" spans="1:27" s="1" customFormat="1">
      <c r="A17" s="24">
        <v>12</v>
      </c>
      <c r="B17" s="11" t="s">
        <v>112</v>
      </c>
      <c r="C17" s="12">
        <v>1</v>
      </c>
      <c r="D17" s="13" t="s">
        <v>110</v>
      </c>
      <c r="E17" s="14" t="s">
        <v>166</v>
      </c>
      <c r="F17" s="13" t="s">
        <v>167</v>
      </c>
      <c r="G17" s="13" t="s">
        <v>88</v>
      </c>
      <c r="H17" s="13" t="s">
        <v>168</v>
      </c>
      <c r="I17" s="11" t="s">
        <v>169</v>
      </c>
      <c r="J17" s="149">
        <v>2.5</v>
      </c>
      <c r="K17" s="149">
        <f>Table13[[#This Row],[Quantity]]*Table13[[#This Row],[Unit Cost]]</f>
        <v>2.5</v>
      </c>
      <c r="L17" s="74">
        <v>2500</v>
      </c>
      <c r="M17" s="74">
        <f>Table13[[#This Row],[Quantity]]*AA17-Table13[[#This Row],[STOCK]]</f>
        <v>-2500</v>
      </c>
      <c r="N17" s="74">
        <f>IF(Table13[[#This Row],[Interim Value]]&lt;0,0,Table13[[#This Row],[Interim Value]])</f>
        <v>0</v>
      </c>
      <c r="O17" s="105">
        <f>Table13[[#This Row],[Kitting Quantity]]*Table13[[#This Row],[Unit Cost]]</f>
        <v>0</v>
      </c>
      <c r="P17" s="11" t="s">
        <v>363</v>
      </c>
      <c r="Q17" s="11" t="s">
        <v>362</v>
      </c>
      <c r="AA17" s="1">
        <f>N1</f>
        <v>0</v>
      </c>
    </row>
    <row r="18" spans="1:27">
      <c r="A18" s="24">
        <v>13</v>
      </c>
      <c r="B18" s="11" t="s">
        <v>34</v>
      </c>
      <c r="C18" s="12">
        <v>1</v>
      </c>
      <c r="D18" s="13" t="s">
        <v>35</v>
      </c>
      <c r="E18" s="13" t="s">
        <v>170</v>
      </c>
      <c r="F18" s="13" t="s">
        <v>171</v>
      </c>
      <c r="G18" s="13" t="s">
        <v>90</v>
      </c>
      <c r="H18" s="13" t="s">
        <v>172</v>
      </c>
      <c r="I18" s="13" t="s">
        <v>172</v>
      </c>
      <c r="J18" s="149">
        <v>7.5</v>
      </c>
      <c r="K18" s="149">
        <f>Table13[[#This Row],[Quantity]]*Table13[[#This Row],[Unit Cost]]</f>
        <v>7.5</v>
      </c>
      <c r="L18" s="74">
        <v>0</v>
      </c>
      <c r="M18" s="74">
        <f>Table13[[#This Row],[Quantity]]*AA18-Table13[[#This Row],[STOCK]]</f>
        <v>0</v>
      </c>
      <c r="N18" s="74">
        <f>IF(Table13[[#This Row],[Interim Value]]&lt;0,0,Table13[[#This Row],[Interim Value]])</f>
        <v>0</v>
      </c>
      <c r="O18" s="105">
        <f>Table13[[#This Row],[Kitting Quantity]]*Table13[[#This Row],[Unit Cost]]</f>
        <v>0</v>
      </c>
      <c r="P18" s="11" t="s">
        <v>172</v>
      </c>
      <c r="Q18" s="11" t="s">
        <v>366</v>
      </c>
      <c r="AA18">
        <f>N1</f>
        <v>0</v>
      </c>
    </row>
    <row r="19" spans="1:27">
      <c r="A19" s="24">
        <v>14</v>
      </c>
      <c r="B19" s="11" t="s">
        <v>38</v>
      </c>
      <c r="C19" s="12">
        <v>1</v>
      </c>
      <c r="D19" s="13" t="s">
        <v>39</v>
      </c>
      <c r="E19" s="13" t="s">
        <v>40</v>
      </c>
      <c r="F19" s="13" t="s">
        <v>173</v>
      </c>
      <c r="G19" s="13" t="s">
        <v>88</v>
      </c>
      <c r="H19" s="13" t="s">
        <v>174</v>
      </c>
      <c r="I19" s="11" t="s">
        <v>175</v>
      </c>
      <c r="J19" s="149">
        <v>3</v>
      </c>
      <c r="K19" s="149">
        <f>Table13[[#This Row],[Quantity]]*Table13[[#This Row],[Unit Cost]]</f>
        <v>3</v>
      </c>
      <c r="L19" s="74">
        <v>4400</v>
      </c>
      <c r="M19" s="74">
        <f>Table13[[#This Row],[Quantity]]*AA19-Table13[[#This Row],[STOCK]]</f>
        <v>-4400</v>
      </c>
      <c r="N19" s="74">
        <f>IF(Table13[[#This Row],[Interim Value]]&lt;0,0,Table13[[#This Row],[Interim Value]])</f>
        <v>0</v>
      </c>
      <c r="O19" s="105">
        <f>Table13[[#This Row],[Kitting Quantity]]*Table13[[#This Row],[Unit Cost]]</f>
        <v>0</v>
      </c>
      <c r="P19" s="11" t="s">
        <v>363</v>
      </c>
      <c r="Q19" s="11" t="s">
        <v>362</v>
      </c>
      <c r="AA19">
        <f>N1</f>
        <v>0</v>
      </c>
    </row>
    <row r="20" spans="1:27">
      <c r="A20" s="24">
        <v>15</v>
      </c>
      <c r="B20" s="11" t="s">
        <v>75</v>
      </c>
      <c r="C20" s="12">
        <v>1</v>
      </c>
      <c r="D20" s="13" t="s">
        <v>176</v>
      </c>
      <c r="E20" s="13" t="s">
        <v>76</v>
      </c>
      <c r="F20" s="13" t="s">
        <v>77</v>
      </c>
      <c r="G20" s="13" t="s">
        <v>90</v>
      </c>
      <c r="H20" s="13"/>
      <c r="I20" s="11" t="s">
        <v>159</v>
      </c>
      <c r="J20" s="149">
        <v>1.6</v>
      </c>
      <c r="K20" s="149">
        <f>Table13[[#This Row],[Quantity]]*Table13[[#This Row],[Unit Cost]]</f>
        <v>1.6</v>
      </c>
      <c r="L20" s="74">
        <v>200</v>
      </c>
      <c r="M20" s="74">
        <f>Table13[[#This Row],[Quantity]]*AA20-Table13[[#This Row],[STOCK]]</f>
        <v>-200</v>
      </c>
      <c r="N20" s="74">
        <f>IF(Table13[[#This Row],[Interim Value]]&lt;0,0,Table13[[#This Row],[Interim Value]])</f>
        <v>0</v>
      </c>
      <c r="O20" s="105">
        <f>Table13[[#This Row],[Kitting Quantity]]*Table13[[#This Row],[Unit Cost]]</f>
        <v>0</v>
      </c>
      <c r="P20" s="11" t="s">
        <v>364</v>
      </c>
      <c r="Q20" s="11" t="s">
        <v>365</v>
      </c>
      <c r="AA20">
        <f>N1</f>
        <v>0</v>
      </c>
    </row>
    <row r="21" spans="1:27" s="1" customFormat="1">
      <c r="A21" s="24">
        <v>16</v>
      </c>
      <c r="B21" s="11" t="s">
        <v>42</v>
      </c>
      <c r="C21" s="12">
        <v>1</v>
      </c>
      <c r="D21" s="13" t="s">
        <v>43</v>
      </c>
      <c r="E21" s="13" t="s">
        <v>44</v>
      </c>
      <c r="F21" s="13" t="s">
        <v>177</v>
      </c>
      <c r="G21" s="13" t="s">
        <v>88</v>
      </c>
      <c r="H21" s="14" t="s">
        <v>178</v>
      </c>
      <c r="I21" s="11" t="s">
        <v>179</v>
      </c>
      <c r="J21" s="149">
        <v>11.9</v>
      </c>
      <c r="K21" s="149">
        <f>Table13[[#This Row],[Quantity]]*Table13[[#This Row],[Unit Cost]]</f>
        <v>11.9</v>
      </c>
      <c r="L21" s="74">
        <v>2213</v>
      </c>
      <c r="M21" s="74">
        <f>Table13[[#This Row],[Quantity]]*AA21-Table13[[#This Row],[STOCK]]</f>
        <v>-2213</v>
      </c>
      <c r="N21" s="74">
        <f>IF(Table13[[#This Row],[Interim Value]]&lt;0,0,Table13[[#This Row],[Interim Value]])</f>
        <v>0</v>
      </c>
      <c r="O21" s="105">
        <f>Table13[[#This Row],[Kitting Quantity]]*Table13[[#This Row],[Unit Cost]]</f>
        <v>0</v>
      </c>
      <c r="P21" s="11" t="s">
        <v>363</v>
      </c>
      <c r="Q21" s="11" t="s">
        <v>362</v>
      </c>
      <c r="AA21" s="1">
        <f>N1</f>
        <v>0</v>
      </c>
    </row>
    <row r="22" spans="1:27">
      <c r="A22" s="24">
        <v>17</v>
      </c>
      <c r="B22" s="11" t="s">
        <v>46</v>
      </c>
      <c r="C22" s="12">
        <v>1</v>
      </c>
      <c r="D22" s="13" t="s">
        <v>47</v>
      </c>
      <c r="E22" s="13" t="s">
        <v>48</v>
      </c>
      <c r="F22" s="13" t="s">
        <v>49</v>
      </c>
      <c r="G22" s="13" t="s">
        <v>122</v>
      </c>
      <c r="H22" s="13" t="s">
        <v>180</v>
      </c>
      <c r="I22" s="11" t="s">
        <v>181</v>
      </c>
      <c r="J22" s="149">
        <v>0.05</v>
      </c>
      <c r="K22" s="149">
        <f>Table13[[#This Row],[Quantity]]*Table13[[#This Row],[Unit Cost]]</f>
        <v>0.05</v>
      </c>
      <c r="L22" s="74">
        <v>15000</v>
      </c>
      <c r="M22" s="74">
        <f>Table13[[#This Row],[Quantity]]*AA22-Table13[[#This Row],[STOCK]]</f>
        <v>-15000</v>
      </c>
      <c r="N22" s="74">
        <f>IF(Table13[[#This Row],[Interim Value]]&lt;0,0,Table13[[#This Row],[Interim Value]])</f>
        <v>0</v>
      </c>
      <c r="O22" s="105">
        <f>Table13[[#This Row],[Kitting Quantity]]*Table13[[#This Row],[Unit Cost]]</f>
        <v>0</v>
      </c>
      <c r="P22" s="11" t="s">
        <v>292</v>
      </c>
      <c r="Q22" s="11" t="s">
        <v>362</v>
      </c>
      <c r="AA22">
        <f>N1</f>
        <v>0</v>
      </c>
    </row>
    <row r="23" spans="1:27">
      <c r="A23" s="24">
        <v>18</v>
      </c>
      <c r="B23" s="11" t="s">
        <v>50</v>
      </c>
      <c r="C23" s="12">
        <v>1</v>
      </c>
      <c r="D23" s="13" t="s">
        <v>51</v>
      </c>
      <c r="E23" s="13" t="s">
        <v>80</v>
      </c>
      <c r="F23" s="13" t="s">
        <v>53</v>
      </c>
      <c r="G23" s="13" t="s">
        <v>122</v>
      </c>
      <c r="H23" s="13" t="s">
        <v>180</v>
      </c>
      <c r="I23" s="11" t="s">
        <v>181</v>
      </c>
      <c r="J23" s="149">
        <v>0.5</v>
      </c>
      <c r="K23" s="149">
        <f>Table13[[#This Row],[Quantity]]*Table13[[#This Row],[Unit Cost]]</f>
        <v>0.5</v>
      </c>
      <c r="L23" s="74">
        <v>10000</v>
      </c>
      <c r="M23" s="74">
        <f>Table13[[#This Row],[Quantity]]*AA23-Table13[[#This Row],[STOCK]]</f>
        <v>-10000</v>
      </c>
      <c r="N23" s="74">
        <f>IF(Table13[[#This Row],[Interim Value]]&lt;0,0,Table13[[#This Row],[Interim Value]])</f>
        <v>0</v>
      </c>
      <c r="O23" s="105">
        <f>Table13[[#This Row],[Kitting Quantity]]*Table13[[#This Row],[Unit Cost]]</f>
        <v>0</v>
      </c>
      <c r="P23" s="11" t="s">
        <v>292</v>
      </c>
      <c r="Q23" s="11" t="s">
        <v>362</v>
      </c>
      <c r="AA23">
        <f>N1</f>
        <v>0</v>
      </c>
    </row>
    <row r="24" spans="1:27" s="114" customFormat="1">
      <c r="A24" s="108">
        <v>19</v>
      </c>
      <c r="B24" s="109" t="s">
        <v>78</v>
      </c>
      <c r="C24" s="110">
        <v>1</v>
      </c>
      <c r="D24" s="111" t="s">
        <v>79</v>
      </c>
      <c r="E24" s="111" t="s">
        <v>80</v>
      </c>
      <c r="F24" s="111" t="s">
        <v>53</v>
      </c>
      <c r="G24" s="111" t="s">
        <v>122</v>
      </c>
      <c r="H24" s="111" t="s">
        <v>180</v>
      </c>
      <c r="I24" s="109" t="s">
        <v>181</v>
      </c>
      <c r="J24" s="193">
        <v>0.5</v>
      </c>
      <c r="K24" s="193">
        <f>Table13[[#This Row],[Quantity]]*Table13[[#This Row],[Unit Cost]]</f>
        <v>0.5</v>
      </c>
      <c r="L24" s="112">
        <v>0</v>
      </c>
      <c r="M24" s="112">
        <f>Table13[[#This Row],[Quantity]]*AA24-Table13[[#This Row],[STOCK]]</f>
        <v>0</v>
      </c>
      <c r="N24" s="112">
        <f>IF(Table13[[#This Row],[Interim Value]]&lt;0,0,Table13[[#This Row],[Interim Value]])</f>
        <v>0</v>
      </c>
      <c r="O24" s="113">
        <f>Table13[[#This Row],[Kitting Quantity]]*Table13[[#This Row],[Unit Cost]]</f>
        <v>0</v>
      </c>
      <c r="P24" s="11" t="s">
        <v>292</v>
      </c>
      <c r="Q24" s="11" t="s">
        <v>362</v>
      </c>
      <c r="AA24" s="114">
        <f>N1</f>
        <v>0</v>
      </c>
    </row>
    <row r="25" spans="1:27">
      <c r="A25" s="24">
        <v>20</v>
      </c>
      <c r="B25" s="11" t="s">
        <v>54</v>
      </c>
      <c r="C25" s="12">
        <v>1</v>
      </c>
      <c r="D25" s="13" t="s">
        <v>55</v>
      </c>
      <c r="E25" s="13" t="s">
        <v>357</v>
      </c>
      <c r="F25" s="13" t="s">
        <v>57</v>
      </c>
      <c r="G25" s="13" t="s">
        <v>90</v>
      </c>
      <c r="H25" s="13" t="s">
        <v>180</v>
      </c>
      <c r="I25" s="11" t="s">
        <v>181</v>
      </c>
      <c r="J25" s="149">
        <v>0.05</v>
      </c>
      <c r="K25" s="149">
        <f>Table13[[#This Row],[Quantity]]*Table13[[#This Row],[Unit Cost]]</f>
        <v>0.05</v>
      </c>
      <c r="L25" s="74">
        <v>15000</v>
      </c>
      <c r="M25" s="74">
        <f>Table13[[#This Row],[Quantity]]*AA25-Table13[[#This Row],[STOCK]]</f>
        <v>-15000</v>
      </c>
      <c r="N25" s="74">
        <f>IF(Table13[[#This Row],[Interim Value]]&lt;0,0,Table13[[#This Row],[Interim Value]])</f>
        <v>0</v>
      </c>
      <c r="O25" s="105">
        <f>Table13[[#This Row],[Kitting Quantity]]*Table13[[#This Row],[Unit Cost]]</f>
        <v>0</v>
      </c>
      <c r="P25" s="11" t="s">
        <v>292</v>
      </c>
      <c r="Q25" s="11" t="s">
        <v>362</v>
      </c>
      <c r="AA25">
        <f>N1</f>
        <v>0</v>
      </c>
    </row>
    <row r="26" spans="1:27">
      <c r="A26" s="24">
        <v>21</v>
      </c>
      <c r="B26" s="11"/>
      <c r="C26" s="12">
        <v>1</v>
      </c>
      <c r="D26" s="13" t="s">
        <v>182</v>
      </c>
      <c r="E26" s="13" t="s">
        <v>98</v>
      </c>
      <c r="F26" s="13" t="s">
        <v>57</v>
      </c>
      <c r="G26" s="13" t="s">
        <v>88</v>
      </c>
      <c r="H26" s="13"/>
      <c r="I26" s="11"/>
      <c r="J26" s="149">
        <v>0</v>
      </c>
      <c r="K26" s="149">
        <f>Table13[[#This Row],[Quantity]]*Table13[[#This Row],[Unit Cost]]</f>
        <v>0</v>
      </c>
      <c r="L26" s="74">
        <v>0</v>
      </c>
      <c r="M26" s="74">
        <f>Table13[[#This Row],[Quantity]]*AA26-Table13[[#This Row],[STOCK]]</f>
        <v>0</v>
      </c>
      <c r="N26" s="74">
        <f>IF(Table13[[#This Row],[Interim Value]]&lt;0,0,Table13[[#This Row],[Interim Value]])</f>
        <v>0</v>
      </c>
      <c r="O26" s="105">
        <f>Table13[[#This Row],[Kitting Quantity]]*Table13[[#This Row],[Unit Cost]]</f>
        <v>0</v>
      </c>
      <c r="P26" s="11" t="s">
        <v>292</v>
      </c>
      <c r="Q26" s="11" t="s">
        <v>362</v>
      </c>
      <c r="AA26">
        <f>N1</f>
        <v>0</v>
      </c>
    </row>
    <row r="27" spans="1:27">
      <c r="A27" s="24">
        <v>22</v>
      </c>
      <c r="B27" s="11" t="s">
        <v>58</v>
      </c>
      <c r="C27" s="12">
        <v>1</v>
      </c>
      <c r="D27" s="13" t="s">
        <v>59</v>
      </c>
      <c r="E27" s="13" t="s">
        <v>60</v>
      </c>
      <c r="F27" s="13" t="s">
        <v>57</v>
      </c>
      <c r="G27" s="13" t="s">
        <v>122</v>
      </c>
      <c r="H27" s="13" t="s">
        <v>180</v>
      </c>
      <c r="I27" s="11" t="s">
        <v>181</v>
      </c>
      <c r="J27" s="149">
        <v>0.05</v>
      </c>
      <c r="K27" s="149">
        <f>Table13[[#This Row],[Quantity]]*Table13[[#This Row],[Unit Cost]]</f>
        <v>0.05</v>
      </c>
      <c r="L27" s="74">
        <v>10000</v>
      </c>
      <c r="M27" s="74">
        <f>Table13[[#This Row],[Quantity]]*AA27-Table13[[#This Row],[STOCK]]</f>
        <v>-10000</v>
      </c>
      <c r="N27" s="74">
        <f>IF(Table13[[#This Row],[Interim Value]]&lt;0,0,Table13[[#This Row],[Interim Value]])</f>
        <v>0</v>
      </c>
      <c r="O27" s="105">
        <f>Table13[[#This Row],[Kitting Quantity]]*Table13[[#This Row],[Unit Cost]]</f>
        <v>0</v>
      </c>
      <c r="P27" s="11" t="s">
        <v>292</v>
      </c>
      <c r="Q27" s="11" t="s">
        <v>362</v>
      </c>
      <c r="AA27">
        <f>N1</f>
        <v>0</v>
      </c>
    </row>
    <row r="28" spans="1:27">
      <c r="A28" s="24">
        <v>23</v>
      </c>
      <c r="B28" s="11" t="s">
        <v>61</v>
      </c>
      <c r="C28" s="12">
        <v>1</v>
      </c>
      <c r="D28" s="13" t="s">
        <v>62</v>
      </c>
      <c r="E28" s="13" t="s">
        <v>63</v>
      </c>
      <c r="F28" s="13" t="s">
        <v>57</v>
      </c>
      <c r="G28" s="13" t="s">
        <v>122</v>
      </c>
      <c r="H28" s="13" t="s">
        <v>180</v>
      </c>
      <c r="I28" s="11" t="s">
        <v>181</v>
      </c>
      <c r="J28" s="149">
        <v>0.05</v>
      </c>
      <c r="K28" s="149">
        <f>Table13[[#This Row],[Quantity]]*Table13[[#This Row],[Unit Cost]]</f>
        <v>0.05</v>
      </c>
      <c r="L28" s="74">
        <v>10000</v>
      </c>
      <c r="M28" s="74">
        <f>Table13[[#This Row],[Quantity]]*AA28-Table13[[#This Row],[STOCK]]</f>
        <v>-10000</v>
      </c>
      <c r="N28" s="74">
        <f>IF(Table13[[#This Row],[Interim Value]]&lt;0,0,Table13[[#This Row],[Interim Value]])</f>
        <v>0</v>
      </c>
      <c r="O28" s="105">
        <f>Table13[[#This Row],[Kitting Quantity]]*Table13[[#This Row],[Unit Cost]]</f>
        <v>0</v>
      </c>
      <c r="P28" s="11" t="s">
        <v>292</v>
      </c>
      <c r="Q28" s="11" t="s">
        <v>362</v>
      </c>
      <c r="AA28">
        <f>N1</f>
        <v>0</v>
      </c>
    </row>
    <row r="29" spans="1:27">
      <c r="A29" s="24">
        <v>24</v>
      </c>
      <c r="B29" s="11" t="s">
        <v>64</v>
      </c>
      <c r="C29" s="12">
        <v>1</v>
      </c>
      <c r="D29" s="13" t="s">
        <v>65</v>
      </c>
      <c r="E29" s="13" t="s">
        <v>66</v>
      </c>
      <c r="F29" s="13" t="s">
        <v>57</v>
      </c>
      <c r="G29" s="13" t="s">
        <v>122</v>
      </c>
      <c r="H29" s="13" t="s">
        <v>180</v>
      </c>
      <c r="I29" s="11" t="s">
        <v>181</v>
      </c>
      <c r="J29" s="149">
        <v>0.05</v>
      </c>
      <c r="K29" s="149">
        <f>Table13[[#This Row],[Quantity]]*Table13[[#This Row],[Unit Cost]]</f>
        <v>0.05</v>
      </c>
      <c r="L29" s="74">
        <v>10000</v>
      </c>
      <c r="M29" s="74">
        <f>Table13[[#This Row],[Quantity]]*AA29-Table13[[#This Row],[STOCK]]</f>
        <v>-10000</v>
      </c>
      <c r="N29" s="74">
        <f>IF(Table13[[#This Row],[Interim Value]]&lt;0,0,Table13[[#This Row],[Interim Value]])</f>
        <v>0</v>
      </c>
      <c r="O29" s="105">
        <f>Table13[[#This Row],[Kitting Quantity]]*Table13[[#This Row],[Unit Cost]]</f>
        <v>0</v>
      </c>
      <c r="P29" s="11" t="s">
        <v>292</v>
      </c>
      <c r="Q29" s="11" t="s">
        <v>362</v>
      </c>
      <c r="AA29">
        <f>N1</f>
        <v>0</v>
      </c>
    </row>
    <row r="30" spans="1:27">
      <c r="A30" s="24">
        <v>25</v>
      </c>
      <c r="B30" s="11" t="s">
        <v>67</v>
      </c>
      <c r="C30" s="12">
        <v>1</v>
      </c>
      <c r="D30" s="13" t="s">
        <v>68</v>
      </c>
      <c r="E30" s="13" t="s">
        <v>127</v>
      </c>
      <c r="F30" s="13" t="s">
        <v>57</v>
      </c>
      <c r="G30" s="13" t="s">
        <v>90</v>
      </c>
      <c r="H30" s="13" t="s">
        <v>180</v>
      </c>
      <c r="I30" s="11" t="s">
        <v>181</v>
      </c>
      <c r="J30" s="149">
        <v>0.05</v>
      </c>
      <c r="K30" s="149">
        <f>Table13[[#This Row],[Quantity]]*Table13[[#This Row],[Unit Cost]]</f>
        <v>0.05</v>
      </c>
      <c r="L30" s="74">
        <v>10000</v>
      </c>
      <c r="M30" s="74">
        <f>Table13[[#This Row],[Quantity]]*AA30-Table13[[#This Row],[STOCK]]</f>
        <v>-10000</v>
      </c>
      <c r="N30" s="74">
        <f>IF(Table13[[#This Row],[Interim Value]]&lt;0,0,Table13[[#This Row],[Interim Value]])</f>
        <v>0</v>
      </c>
      <c r="O30" s="105">
        <f>Table13[[#This Row],[Kitting Quantity]]*Table13[[#This Row],[Unit Cost]]</f>
        <v>0</v>
      </c>
      <c r="P30" s="11" t="s">
        <v>292</v>
      </c>
      <c r="Q30" s="11" t="s">
        <v>362</v>
      </c>
      <c r="AA30">
        <f>N1</f>
        <v>0</v>
      </c>
    </row>
    <row r="31" spans="1:27">
      <c r="A31" s="24">
        <v>26</v>
      </c>
      <c r="B31" s="11" t="s">
        <v>69</v>
      </c>
      <c r="C31" s="12">
        <v>1</v>
      </c>
      <c r="D31" s="13" t="s">
        <v>70</v>
      </c>
      <c r="E31" s="13" t="s">
        <v>71</v>
      </c>
      <c r="F31" s="13" t="s">
        <v>57</v>
      </c>
      <c r="G31" s="13" t="s">
        <v>90</v>
      </c>
      <c r="H31" s="13" t="s">
        <v>180</v>
      </c>
      <c r="I31" s="11" t="s">
        <v>181</v>
      </c>
      <c r="J31" s="149">
        <v>0.05</v>
      </c>
      <c r="K31" s="149">
        <f>Table13[[#This Row],[Quantity]]*Table13[[#This Row],[Unit Cost]]</f>
        <v>0.05</v>
      </c>
      <c r="L31" s="74">
        <v>10000</v>
      </c>
      <c r="M31" s="74">
        <f>Table13[[#This Row],[Quantity]]*AA31-Table13[[#This Row],[STOCK]]</f>
        <v>-10000</v>
      </c>
      <c r="N31" s="74">
        <f>IF(Table13[[#This Row],[Interim Value]]&lt;0,0,Table13[[#This Row],[Interim Value]])</f>
        <v>0</v>
      </c>
      <c r="O31" s="105">
        <f>Table13[[#This Row],[Kitting Quantity]]*Table13[[#This Row],[Unit Cost]]</f>
        <v>0</v>
      </c>
      <c r="P31" s="11" t="s">
        <v>292</v>
      </c>
      <c r="Q31" s="11" t="s">
        <v>362</v>
      </c>
      <c r="AA31">
        <f>N1</f>
        <v>0</v>
      </c>
    </row>
    <row r="32" spans="1:27">
      <c r="A32" s="24">
        <v>27</v>
      </c>
      <c r="B32" s="11" t="s">
        <v>72</v>
      </c>
      <c r="C32" s="12">
        <v>1</v>
      </c>
      <c r="D32" s="13" t="s">
        <v>73</v>
      </c>
      <c r="E32" s="13" t="s">
        <v>74</v>
      </c>
      <c r="F32" s="13" t="s">
        <v>57</v>
      </c>
      <c r="G32" s="13" t="s">
        <v>122</v>
      </c>
      <c r="H32" s="13" t="s">
        <v>180</v>
      </c>
      <c r="I32" s="11" t="s">
        <v>181</v>
      </c>
      <c r="J32" s="149">
        <v>0.05</v>
      </c>
      <c r="K32" s="149">
        <f>Table13[[#This Row],[Quantity]]*Table13[[#This Row],[Unit Cost]]</f>
        <v>0.05</v>
      </c>
      <c r="L32" s="74">
        <v>10000</v>
      </c>
      <c r="M32" s="74">
        <f>Table13[[#This Row],[Quantity]]*AA32-Table13[[#This Row],[STOCK]]</f>
        <v>-10000</v>
      </c>
      <c r="N32" s="74">
        <f>IF(Table13[[#This Row],[Interim Value]]&lt;0,0,Table13[[#This Row],[Interim Value]])</f>
        <v>0</v>
      </c>
      <c r="O32" s="105">
        <f>Table13[[#This Row],[Kitting Quantity]]*Table13[[#This Row],[Unit Cost]]</f>
        <v>0</v>
      </c>
      <c r="P32" s="11" t="s">
        <v>292</v>
      </c>
      <c r="Q32" s="11" t="s">
        <v>362</v>
      </c>
      <c r="AA32">
        <f>N1</f>
        <v>0</v>
      </c>
    </row>
    <row r="33" spans="1:27">
      <c r="A33" s="24">
        <v>28</v>
      </c>
      <c r="B33" s="11"/>
      <c r="C33" s="16">
        <v>1</v>
      </c>
      <c r="D33" s="17" t="s">
        <v>130</v>
      </c>
      <c r="E33" s="17" t="s">
        <v>183</v>
      </c>
      <c r="F33" s="17" t="s">
        <v>53</v>
      </c>
      <c r="G33" s="17" t="s">
        <v>88</v>
      </c>
      <c r="H33" s="18" t="s">
        <v>180</v>
      </c>
      <c r="I33" s="11"/>
      <c r="J33" s="149">
        <v>0</v>
      </c>
      <c r="K33" s="149">
        <f>Table13[[#This Row],[Quantity]]*Table13[[#This Row],[Unit Cost]]</f>
        <v>0</v>
      </c>
      <c r="L33" s="74">
        <v>0</v>
      </c>
      <c r="M33" s="74">
        <f>Table13[[#This Row],[Quantity]]*AA33-Table13[[#This Row],[STOCK]]</f>
        <v>0</v>
      </c>
      <c r="N33" s="74">
        <f>IF(Table13[[#This Row],[Interim Value]]&lt;0,0,Table13[[#This Row],[Interim Value]])</f>
        <v>0</v>
      </c>
      <c r="O33" s="105">
        <f>Table13[[#This Row],[Kitting Quantity]]*Table13[[#This Row],[Unit Cost]]</f>
        <v>0</v>
      </c>
      <c r="P33" s="11"/>
      <c r="Q33" s="11"/>
      <c r="AA33">
        <f>N1</f>
        <v>0</v>
      </c>
    </row>
    <row r="34" spans="1:27">
      <c r="A34" s="24">
        <v>29</v>
      </c>
      <c r="B34" s="19" t="s">
        <v>83</v>
      </c>
      <c r="C34" s="20">
        <v>1</v>
      </c>
      <c r="D34" s="21" t="s">
        <v>84</v>
      </c>
      <c r="E34" s="21" t="s">
        <v>85</v>
      </c>
      <c r="F34" s="21" t="s">
        <v>136</v>
      </c>
      <c r="G34" s="21" t="s">
        <v>88</v>
      </c>
      <c r="H34" s="21" t="s">
        <v>184</v>
      </c>
      <c r="I34" s="11" t="s">
        <v>185</v>
      </c>
      <c r="J34" s="149">
        <v>15</v>
      </c>
      <c r="K34" s="149">
        <f>Table13[[#This Row],[Quantity]]*Table13[[#This Row],[Unit Cost]]</f>
        <v>15</v>
      </c>
      <c r="L34" s="74">
        <v>19494</v>
      </c>
      <c r="M34" s="74">
        <f>Table13[[#This Row],[Quantity]]*AA34-Table13[[#This Row],[STOCK]]</f>
        <v>-19494</v>
      </c>
      <c r="N34" s="74">
        <f>IF(Table13[[#This Row],[Interim Value]]&lt;0,0,Table13[[#This Row],[Interim Value]])</f>
        <v>0</v>
      </c>
      <c r="O34" s="105">
        <f>Table13[[#This Row],[Kitting Quantity]]*Table13[[#This Row],[Unit Cost]]</f>
        <v>0</v>
      </c>
      <c r="P34" s="11" t="s">
        <v>185</v>
      </c>
      <c r="Q34" s="11"/>
      <c r="AA34">
        <f>N1</f>
        <v>0</v>
      </c>
    </row>
    <row r="35" spans="1:27" s="138" customFormat="1">
      <c r="A35" s="152">
        <v>30</v>
      </c>
      <c r="B35" s="153" t="s">
        <v>81</v>
      </c>
      <c r="C35" s="154">
        <v>1</v>
      </c>
      <c r="D35" s="155"/>
      <c r="E35" s="156" t="s">
        <v>186</v>
      </c>
      <c r="F35" s="156" t="s">
        <v>187</v>
      </c>
      <c r="G35" s="155"/>
      <c r="H35" s="155"/>
      <c r="I35" s="157" t="s">
        <v>188</v>
      </c>
      <c r="J35" s="196">
        <v>15.7</v>
      </c>
      <c r="K35" s="196">
        <f>Table13[[#This Row],[Quantity]]*Table13[[#This Row],[Unit Cost]]</f>
        <v>15.7</v>
      </c>
      <c r="L35" s="158">
        <v>1026</v>
      </c>
      <c r="M35" s="334">
        <f>Table13[[#This Row],[Quantity]]*AA35-Table13[[#This Row],[STOCK]]</f>
        <v>-1026</v>
      </c>
      <c r="N35" s="334">
        <f>IF(Table13[[#This Row],[Interim Value]]&lt;0,0,Table13[[#This Row],[Interim Value]])</f>
        <v>0</v>
      </c>
      <c r="O35" s="159">
        <f>Table13[[#This Row],[Kitting Quantity]]*Table13[[#This Row],[Unit Cost]]</f>
        <v>0</v>
      </c>
      <c r="P35" s="129" t="s">
        <v>234</v>
      </c>
      <c r="Q35" s="129" t="s">
        <v>369</v>
      </c>
      <c r="AA35" s="138">
        <f>N1</f>
        <v>0</v>
      </c>
    </row>
    <row r="36" spans="1:27">
      <c r="A36" s="42">
        <v>31</v>
      </c>
      <c r="B36" s="43"/>
      <c r="C36" s="44">
        <v>1</v>
      </c>
      <c r="D36" s="45"/>
      <c r="E36" s="79" t="s">
        <v>196</v>
      </c>
      <c r="F36" s="45"/>
      <c r="G36" s="43"/>
      <c r="H36" s="43" t="s">
        <v>197</v>
      </c>
      <c r="I36" s="43"/>
      <c r="J36" s="197">
        <v>9</v>
      </c>
      <c r="K36" s="197">
        <f>Table13[[#This Row],[Quantity]]*Table13[[#This Row],[Unit Cost]]</f>
        <v>9</v>
      </c>
      <c r="L36" s="74">
        <v>0</v>
      </c>
      <c r="M36" s="335">
        <f>Table13[[#This Row],[Quantity]]*AA36-Table13[[#This Row],[STOCK]]</f>
        <v>0</v>
      </c>
      <c r="N36" s="335">
        <f>IF(Table13[[#This Row],[Interim Value]]&lt;0,0,Table13[[#This Row],[Interim Value]])</f>
        <v>0</v>
      </c>
      <c r="O36" s="55">
        <f>Table13[[#This Row],[Kitting Quantity]]*Table13[[#This Row],[Unit Cost]]</f>
        <v>0</v>
      </c>
      <c r="P36" s="11" t="s">
        <v>235</v>
      </c>
      <c r="Q36" s="11"/>
      <c r="AA36">
        <f>N1</f>
        <v>0</v>
      </c>
    </row>
    <row r="37" spans="1:27" ht="15.75" thickBot="1">
      <c r="A37" s="25">
        <v>32</v>
      </c>
      <c r="B37" s="72" t="s">
        <v>349</v>
      </c>
      <c r="C37" s="93">
        <v>1</v>
      </c>
      <c r="D37" s="94"/>
      <c r="E37" s="209" t="s">
        <v>348</v>
      </c>
      <c r="F37" s="94"/>
      <c r="G37" s="26"/>
      <c r="H37" s="26"/>
      <c r="I37" s="26"/>
      <c r="J37" s="197">
        <v>0.3</v>
      </c>
      <c r="K37" s="197">
        <f>Table13[[#This Row],[Quantity]]*Table13[[#This Row],[Unit Cost]]</f>
        <v>0.3</v>
      </c>
      <c r="L37" s="74">
        <v>0</v>
      </c>
      <c r="M37" s="335">
        <f>Table13[[#This Row],[Quantity]]*AA37-Table13[[#This Row],[STOCK]]</f>
        <v>0</v>
      </c>
      <c r="N37" s="335">
        <f>IF(Table13[[#This Row],[Interim Value]]&lt;0,0,Table13[[#This Row],[Interim Value]])</f>
        <v>0</v>
      </c>
      <c r="O37" s="106">
        <f>Table13[[#This Row],[Kitting Quantity]]*Table13[[#This Row],[Unit Cost]]</f>
        <v>0</v>
      </c>
      <c r="P37" s="11"/>
      <c r="Q37" s="11"/>
      <c r="AA37">
        <f>N1</f>
        <v>0</v>
      </c>
    </row>
    <row r="38" spans="1:27" ht="15.75" thickBot="1">
      <c r="A38" s="202"/>
      <c r="B38" s="203"/>
      <c r="C38" s="204"/>
      <c r="D38" s="205"/>
      <c r="E38" s="213" t="s">
        <v>471</v>
      </c>
      <c r="F38" s="214"/>
      <c r="G38" s="215"/>
      <c r="H38" s="215"/>
      <c r="I38" s="215"/>
      <c r="J38" s="216"/>
      <c r="K38" s="337">
        <f>SUBTOTAL(109,[Total])</f>
        <v>85.899999999999977</v>
      </c>
      <c r="L38" s="212"/>
      <c r="M38" s="336"/>
      <c r="N38" s="336"/>
      <c r="O38" s="211"/>
      <c r="P38" s="206"/>
      <c r="Q38" s="206"/>
      <c r="AA38">
        <f>N1</f>
        <v>0</v>
      </c>
    </row>
    <row r="39" spans="1:27">
      <c r="A39" s="345" t="s">
        <v>189</v>
      </c>
      <c r="B39" s="346"/>
      <c r="C39" s="346"/>
      <c r="D39" s="346"/>
      <c r="E39" s="346"/>
      <c r="F39" s="346"/>
      <c r="G39" s="346"/>
      <c r="H39" s="346"/>
      <c r="I39" s="346"/>
      <c r="J39" s="347"/>
      <c r="K39" s="299"/>
      <c r="L39" s="104"/>
      <c r="M39" s="298"/>
      <c r="N39" s="298"/>
      <c r="O39" s="338">
        <f>SUM(Table13[PRICE])</f>
        <v>0</v>
      </c>
    </row>
    <row r="41" spans="1:27" ht="15.75" thickBot="1"/>
    <row r="42" spans="1:27" ht="15.75" thickBot="1">
      <c r="B42" s="343" t="s">
        <v>515</v>
      </c>
      <c r="C42" s="344"/>
      <c r="F42" s="343" t="s">
        <v>518</v>
      </c>
      <c r="G42" s="344"/>
    </row>
    <row r="43" spans="1:27">
      <c r="B43" s="249" t="s">
        <v>509</v>
      </c>
      <c r="C43" s="255">
        <f>K34</f>
        <v>15</v>
      </c>
      <c r="F43" s="249" t="s">
        <v>509</v>
      </c>
      <c r="G43" s="255">
        <f>O34</f>
        <v>0</v>
      </c>
    </row>
    <row r="44" spans="1:27">
      <c r="B44" s="250" t="s">
        <v>492</v>
      </c>
      <c r="C44" s="251"/>
      <c r="F44" s="250" t="s">
        <v>492</v>
      </c>
      <c r="G44" s="251">
        <v>0</v>
      </c>
    </row>
    <row r="45" spans="1:27">
      <c r="B45" s="250" t="s">
        <v>493</v>
      </c>
      <c r="C45" s="251"/>
      <c r="F45" s="250" t="s">
        <v>493</v>
      </c>
      <c r="G45" s="251">
        <v>0</v>
      </c>
    </row>
    <row r="46" spans="1:27">
      <c r="B46" s="250" t="s">
        <v>490</v>
      </c>
      <c r="C46" s="253">
        <f>K36+K37</f>
        <v>9.3000000000000007</v>
      </c>
      <c r="F46" s="250" t="s">
        <v>490</v>
      </c>
      <c r="G46" s="253">
        <f>O36+O37</f>
        <v>0</v>
      </c>
    </row>
    <row r="47" spans="1:27">
      <c r="B47" s="250" t="s">
        <v>494</v>
      </c>
      <c r="C47" s="253">
        <f>K35+SUM(K19:K32)+SUM(K6:K17)</f>
        <v>54.100000000000009</v>
      </c>
      <c r="F47" s="250" t="s">
        <v>494</v>
      </c>
      <c r="G47" s="253">
        <f>O35+SUM(O19:O32)+SUM(O6:O17)</f>
        <v>0</v>
      </c>
    </row>
    <row r="48" spans="1:27" ht="15.75" thickBot="1">
      <c r="B48" s="252" t="s">
        <v>495</v>
      </c>
      <c r="C48" s="254">
        <f>K18</f>
        <v>7.5</v>
      </c>
      <c r="F48" s="252" t="s">
        <v>495</v>
      </c>
      <c r="G48" s="254">
        <f>O18</f>
        <v>0</v>
      </c>
    </row>
    <row r="50" spans="3:3">
      <c r="C50" s="198"/>
    </row>
  </sheetData>
  <mergeCells count="7">
    <mergeCell ref="B42:C42"/>
    <mergeCell ref="F42:G42"/>
    <mergeCell ref="A39:J39"/>
    <mergeCell ref="A1:B1"/>
    <mergeCell ref="C1:D1"/>
    <mergeCell ref="A3:O3"/>
    <mergeCell ref="A4:O4"/>
  </mergeCells>
  <pageMargins left="0.7" right="0.7" top="0.75" bottom="0.75" header="0.3" footer="0.3"/>
  <pageSetup scale="56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Z57"/>
  <sheetViews>
    <sheetView topLeftCell="A43" workbookViewId="0">
      <selection activeCell="M7" sqref="M7"/>
    </sheetView>
  </sheetViews>
  <sheetFormatPr defaultRowHeight="15"/>
  <cols>
    <col min="1" max="1" width="9.140625" style="1"/>
    <col min="2" max="2" width="20.42578125" style="2" bestFit="1" customWidth="1"/>
    <col min="3" max="3" width="12.42578125" style="1" bestFit="1" customWidth="1"/>
    <col min="4" max="4" width="15.5703125" style="1" bestFit="1" customWidth="1"/>
    <col min="5" max="5" width="17.7109375" style="2" bestFit="1" customWidth="1"/>
    <col min="6" max="6" width="18.28515625" style="2" bestFit="1" customWidth="1"/>
    <col min="7" max="7" width="10.5703125" style="1" customWidth="1"/>
    <col min="8" max="8" width="24.5703125" style="1" customWidth="1"/>
    <col min="9" max="9" width="38.28515625" style="1" customWidth="1"/>
    <col min="10" max="12" width="12.85546875" style="1" customWidth="1"/>
    <col min="13" max="13" width="16.28515625" style="1" customWidth="1"/>
    <col min="14" max="14" width="18.140625" style="1" bestFit="1" customWidth="1"/>
    <col min="15" max="15" width="11" style="119" customWidth="1"/>
    <col min="16" max="16" width="21.85546875" style="1" bestFit="1" customWidth="1"/>
    <col min="17" max="17" width="19" bestFit="1" customWidth="1"/>
    <col min="26" max="26" width="0" style="1" hidden="1" customWidth="1"/>
  </cols>
  <sheetData>
    <row r="1" spans="1:26" ht="15" customHeight="1" thickBot="1">
      <c r="A1" s="348" t="s">
        <v>138</v>
      </c>
      <c r="B1" s="348"/>
      <c r="C1" s="349" t="s">
        <v>190</v>
      </c>
      <c r="D1" s="349"/>
      <c r="E1" s="49"/>
      <c r="F1" s="49"/>
      <c r="G1" s="8"/>
      <c r="H1" s="8"/>
      <c r="I1" s="8"/>
      <c r="J1" s="9"/>
      <c r="K1" s="395" t="s">
        <v>514</v>
      </c>
      <c r="L1" s="396"/>
      <c r="M1" s="333"/>
      <c r="N1" s="327">
        <f>'Detail-Planner'!E6</f>
        <v>0</v>
      </c>
      <c r="O1" s="73"/>
      <c r="P1" s="27"/>
    </row>
    <row r="2" spans="1:26">
      <c r="A2" s="8"/>
      <c r="B2" s="49"/>
      <c r="C2" s="8"/>
      <c r="D2" s="8"/>
      <c r="E2" s="49"/>
      <c r="F2" s="49"/>
      <c r="G2" s="8"/>
      <c r="H2" s="8"/>
      <c r="I2" s="8"/>
      <c r="J2" s="9"/>
      <c r="K2" s="9"/>
      <c r="L2" s="9"/>
      <c r="M2" s="9"/>
      <c r="N2" s="9"/>
      <c r="O2" s="73"/>
      <c r="P2" s="28"/>
    </row>
    <row r="3" spans="1:26" ht="15.75" customHeight="1">
      <c r="A3" s="350" t="s">
        <v>191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28"/>
    </row>
    <row r="4" spans="1:26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28"/>
    </row>
    <row r="5" spans="1:26">
      <c r="A5" s="10" t="s">
        <v>0</v>
      </c>
      <c r="B5" s="50" t="s">
        <v>139</v>
      </c>
      <c r="C5" s="10" t="s">
        <v>1</v>
      </c>
      <c r="D5" s="10" t="s">
        <v>2</v>
      </c>
      <c r="E5" s="52" t="s">
        <v>3</v>
      </c>
      <c r="F5" s="52" t="s">
        <v>140</v>
      </c>
      <c r="G5" s="10" t="s">
        <v>141</v>
      </c>
      <c r="H5" s="10" t="s">
        <v>142</v>
      </c>
      <c r="I5" s="10" t="s">
        <v>143</v>
      </c>
      <c r="J5" s="86" t="s">
        <v>470</v>
      </c>
      <c r="K5" s="86" t="s">
        <v>409</v>
      </c>
      <c r="L5" s="103" t="s">
        <v>347</v>
      </c>
      <c r="M5" s="23" t="s">
        <v>517</v>
      </c>
      <c r="N5" s="23" t="s">
        <v>514</v>
      </c>
      <c r="O5" s="116" t="s">
        <v>144</v>
      </c>
      <c r="P5" s="151" t="s">
        <v>360</v>
      </c>
      <c r="Q5" s="151" t="s">
        <v>361</v>
      </c>
    </row>
    <row r="6" spans="1:26" s="1" customFormat="1">
      <c r="A6" s="11">
        <v>1</v>
      </c>
      <c r="B6" s="47" t="s">
        <v>4</v>
      </c>
      <c r="C6" s="30">
        <v>1</v>
      </c>
      <c r="D6" s="31" t="s">
        <v>5</v>
      </c>
      <c r="E6" s="48" t="s">
        <v>6</v>
      </c>
      <c r="F6" s="48" t="s">
        <v>7</v>
      </c>
      <c r="G6" s="31" t="s">
        <v>86</v>
      </c>
      <c r="H6" s="14" t="s">
        <v>147</v>
      </c>
      <c r="I6" s="11" t="s">
        <v>148</v>
      </c>
      <c r="J6" s="59">
        <v>2.6</v>
      </c>
      <c r="K6" s="59">
        <f>Table1479101156[[#This Row],[Unit Cost]]*Table1479101156[[#This Row],[Quantity]]</f>
        <v>2.6</v>
      </c>
      <c r="L6" s="139">
        <v>0</v>
      </c>
      <c r="M6" s="139">
        <f>Table1479101156[[#This Row],[Quantity]]*Z6-Table1479101156[[#This Row],[STOCK]]</f>
        <v>0</v>
      </c>
      <c r="N6" s="139">
        <f>IF(Table1479101156[[#This Row],[Interim Value]]&lt;0,0,Table1479101156[[#This Row],[Interim Value]])</f>
        <v>0</v>
      </c>
      <c r="O6" s="105">
        <f>Table1479101156[[#This Row],[Kitting Quantity]]*Table1479101156[[#This Row],[Unit Cost]]</f>
        <v>0</v>
      </c>
      <c r="P6" s="11" t="s">
        <v>292</v>
      </c>
      <c r="Q6" s="11" t="s">
        <v>362</v>
      </c>
      <c r="Z6" s="1">
        <f>N1</f>
        <v>0</v>
      </c>
    </row>
    <row r="7" spans="1:26">
      <c r="A7" s="11">
        <v>2</v>
      </c>
      <c r="B7" s="47" t="s">
        <v>12</v>
      </c>
      <c r="C7" s="30">
        <v>1</v>
      </c>
      <c r="D7" s="31" t="s">
        <v>87</v>
      </c>
      <c r="E7" s="53" t="s">
        <v>14</v>
      </c>
      <c r="F7" s="48" t="s">
        <v>15</v>
      </c>
      <c r="G7" s="32" t="s">
        <v>86</v>
      </c>
      <c r="H7" s="13" t="s">
        <v>153</v>
      </c>
      <c r="I7" s="11" t="s">
        <v>151</v>
      </c>
      <c r="J7" s="59">
        <v>0.6</v>
      </c>
      <c r="K7" s="59">
        <f>Table1479101156[[#This Row],[Unit Cost]]*Table1479101156[[#This Row],[Quantity]]</f>
        <v>0.6</v>
      </c>
      <c r="L7" s="139">
        <v>0</v>
      </c>
      <c r="M7" s="139">
        <f>Table1479101156[[#This Row],[Quantity]]*Z7-Table1479101156[[#This Row],[STOCK]]</f>
        <v>0</v>
      </c>
      <c r="N7" s="139">
        <f>IF(Table1479101156[[#This Row],[Interim Value]]&lt;0,0,Table1479101156[[#This Row],[Interim Value]])</f>
        <v>0</v>
      </c>
      <c r="O7" s="105">
        <f>Table1479101156[[#This Row],[Kitting Quantity]]*Table1479101156[[#This Row],[Unit Cost]]</f>
        <v>0</v>
      </c>
      <c r="P7" s="11" t="s">
        <v>363</v>
      </c>
      <c r="Q7" s="11" t="s">
        <v>362</v>
      </c>
      <c r="Z7" s="1">
        <f>N1</f>
        <v>0</v>
      </c>
    </row>
    <row r="8" spans="1:26">
      <c r="A8" s="11">
        <v>3</v>
      </c>
      <c r="B8" s="47" t="s">
        <v>91</v>
      </c>
      <c r="C8" s="30">
        <v>1</v>
      </c>
      <c r="D8" s="31" t="s">
        <v>17</v>
      </c>
      <c r="E8" s="48" t="s">
        <v>89</v>
      </c>
      <c r="F8" s="48" t="s">
        <v>18</v>
      </c>
      <c r="G8" s="32" t="s">
        <v>90</v>
      </c>
      <c r="H8" s="13" t="s">
        <v>153</v>
      </c>
      <c r="I8" s="11" t="s">
        <v>151</v>
      </c>
      <c r="J8" s="59">
        <v>0.2</v>
      </c>
      <c r="K8" s="59">
        <f>Table1479101156[[#This Row],[Unit Cost]]*Table1479101156[[#This Row],[Quantity]]</f>
        <v>0.2</v>
      </c>
      <c r="L8" s="139">
        <v>3715</v>
      </c>
      <c r="M8" s="139">
        <f>Table1479101156[[#This Row],[Quantity]]*Z8-Table1479101156[[#This Row],[STOCK]]</f>
        <v>-3715</v>
      </c>
      <c r="N8" s="139">
        <f>IF(Table1479101156[[#This Row],[Interim Value]]&lt;0,0,Table1479101156[[#This Row],[Interim Value]])</f>
        <v>0</v>
      </c>
      <c r="O8" s="105">
        <f>Table1479101156[[#This Row],[Kitting Quantity]]*Table1479101156[[#This Row],[Unit Cost]]</f>
        <v>0</v>
      </c>
      <c r="P8" s="11" t="s">
        <v>292</v>
      </c>
      <c r="Q8" s="11" t="s">
        <v>362</v>
      </c>
      <c r="Z8" s="1">
        <f>N1</f>
        <v>0</v>
      </c>
    </row>
    <row r="9" spans="1:26">
      <c r="A9" s="11">
        <v>4</v>
      </c>
      <c r="B9" s="47" t="s">
        <v>93</v>
      </c>
      <c r="C9" s="30">
        <v>1</v>
      </c>
      <c r="D9" s="31" t="s">
        <v>20</v>
      </c>
      <c r="E9" s="48" t="s">
        <v>358</v>
      </c>
      <c r="F9" s="48" t="s">
        <v>18</v>
      </c>
      <c r="G9" s="32" t="s">
        <v>90</v>
      </c>
      <c r="H9" s="13" t="s">
        <v>153</v>
      </c>
      <c r="I9" s="11" t="s">
        <v>151</v>
      </c>
      <c r="J9" s="74">
        <v>0.35</v>
      </c>
      <c r="K9" s="149">
        <f>Table1479101156[[#This Row],[Unit Cost]]*Table1479101156[[#This Row],[Quantity]]</f>
        <v>0.35</v>
      </c>
      <c r="L9" s="139">
        <v>1745</v>
      </c>
      <c r="M9" s="139">
        <f>Table1479101156[[#This Row],[Quantity]]*Z9-Table1479101156[[#This Row],[STOCK]]</f>
        <v>-1745</v>
      </c>
      <c r="N9" s="139">
        <f>IF(Table1479101156[[#This Row],[Interim Value]]&lt;0,0,Table1479101156[[#This Row],[Interim Value]])</f>
        <v>0</v>
      </c>
      <c r="O9" s="105">
        <f>Table1479101156[[#This Row],[Kitting Quantity]]*Table1479101156[[#This Row],[Unit Cost]]</f>
        <v>0</v>
      </c>
      <c r="P9" s="11" t="s">
        <v>292</v>
      </c>
      <c r="Q9" s="11" t="s">
        <v>362</v>
      </c>
      <c r="Z9" s="1">
        <f>N1</f>
        <v>0</v>
      </c>
    </row>
    <row r="10" spans="1:26" s="114" customFormat="1">
      <c r="A10" s="109">
        <v>5</v>
      </c>
      <c r="B10" s="120" t="s">
        <v>93</v>
      </c>
      <c r="C10" s="121">
        <v>1</v>
      </c>
      <c r="D10" s="122" t="s">
        <v>22</v>
      </c>
      <c r="E10" s="123" t="s">
        <v>358</v>
      </c>
      <c r="F10" s="123" t="s">
        <v>18</v>
      </c>
      <c r="G10" s="124" t="s">
        <v>90</v>
      </c>
      <c r="H10" s="111" t="s">
        <v>153</v>
      </c>
      <c r="I10" s="109" t="s">
        <v>151</v>
      </c>
      <c r="J10" s="125">
        <v>0.35</v>
      </c>
      <c r="K10" s="125">
        <f>Table1479101156[[#This Row],[Unit Cost]]*Table1479101156[[#This Row],[Quantity]]</f>
        <v>0.35</v>
      </c>
      <c r="L10" s="140">
        <v>0</v>
      </c>
      <c r="M10" s="140">
        <f>Table1479101156[[#This Row],[Quantity]]*Z10-Table1479101156[[#This Row],[STOCK]]</f>
        <v>0</v>
      </c>
      <c r="N10" s="140">
        <f>IF(Table1479101156[[#This Row],[Interim Value]]&lt;0,0,Table1479101156[[#This Row],[Interim Value]])</f>
        <v>0</v>
      </c>
      <c r="O10" s="113">
        <f>Table1479101156[[#This Row],[Kitting Quantity]]*Table1479101156[[#This Row],[Unit Cost]]</f>
        <v>0</v>
      </c>
      <c r="P10" s="11" t="s">
        <v>292</v>
      </c>
      <c r="Q10" s="11" t="s">
        <v>362</v>
      </c>
      <c r="Z10" s="1">
        <f>N1</f>
        <v>0</v>
      </c>
    </row>
    <row r="11" spans="1:26" s="114" customFormat="1">
      <c r="A11" s="109">
        <v>6</v>
      </c>
      <c r="B11" s="120" t="s">
        <v>12</v>
      </c>
      <c r="C11" s="121">
        <v>1</v>
      </c>
      <c r="D11" s="122" t="s">
        <v>95</v>
      </c>
      <c r="E11" s="126" t="s">
        <v>94</v>
      </c>
      <c r="F11" s="123" t="s">
        <v>96</v>
      </c>
      <c r="G11" s="124" t="s">
        <v>86</v>
      </c>
      <c r="H11" s="111" t="s">
        <v>153</v>
      </c>
      <c r="I11" s="109" t="s">
        <v>151</v>
      </c>
      <c r="J11" s="125">
        <v>0.6</v>
      </c>
      <c r="K11" s="125">
        <f>Table1479101156[[#This Row],[Unit Cost]]*Table1479101156[[#This Row],[Quantity]]</f>
        <v>0.6</v>
      </c>
      <c r="L11" s="140">
        <v>0</v>
      </c>
      <c r="M11" s="140">
        <f>Table1479101156[[#This Row],[Quantity]]*Z11-Table1479101156[[#This Row],[STOCK]]</f>
        <v>0</v>
      </c>
      <c r="N11" s="140">
        <f>IF(Table1479101156[[#This Row],[Interim Value]]&lt;0,0,Table1479101156[[#This Row],[Interim Value]])</f>
        <v>0</v>
      </c>
      <c r="O11" s="113">
        <f>Table1479101156[[#This Row],[Kitting Quantity]]*Table1479101156[[#This Row],[Unit Cost]]</f>
        <v>0</v>
      </c>
      <c r="P11" s="11" t="s">
        <v>363</v>
      </c>
      <c r="Q11" s="11" t="s">
        <v>362</v>
      </c>
      <c r="Z11" s="1">
        <f>N1</f>
        <v>0</v>
      </c>
    </row>
    <row r="12" spans="1:26" s="114" customFormat="1">
      <c r="A12" s="109">
        <v>7</v>
      </c>
      <c r="B12" s="120" t="s">
        <v>12</v>
      </c>
      <c r="C12" s="121">
        <v>1</v>
      </c>
      <c r="D12" s="122" t="s">
        <v>97</v>
      </c>
      <c r="E12" s="126" t="s">
        <v>14</v>
      </c>
      <c r="F12" s="123" t="s">
        <v>15</v>
      </c>
      <c r="G12" s="124" t="s">
        <v>86</v>
      </c>
      <c r="H12" s="111" t="s">
        <v>153</v>
      </c>
      <c r="I12" s="109" t="s">
        <v>151</v>
      </c>
      <c r="J12" s="125">
        <v>0.6</v>
      </c>
      <c r="K12" s="125">
        <f>Table1479101156[[#This Row],[Unit Cost]]*Table1479101156[[#This Row],[Quantity]]</f>
        <v>0.6</v>
      </c>
      <c r="L12" s="140">
        <v>0</v>
      </c>
      <c r="M12" s="140">
        <f>Table1479101156[[#This Row],[Quantity]]*Z12-Table1479101156[[#This Row],[STOCK]]</f>
        <v>0</v>
      </c>
      <c r="N12" s="140">
        <f>IF(Table1479101156[[#This Row],[Interim Value]]&lt;0,0,Table1479101156[[#This Row],[Interim Value]])</f>
        <v>0</v>
      </c>
      <c r="O12" s="113">
        <f>Table1479101156[[#This Row],[Kitting Quantity]]*Table1479101156[[#This Row],[Unit Cost]]</f>
        <v>0</v>
      </c>
      <c r="P12" s="11" t="s">
        <v>363</v>
      </c>
      <c r="Q12" s="11" t="s">
        <v>362</v>
      </c>
      <c r="Z12" s="1">
        <f>N1</f>
        <v>0</v>
      </c>
    </row>
    <row r="13" spans="1:26">
      <c r="A13" s="11">
        <v>8</v>
      </c>
      <c r="B13" s="47" t="s">
        <v>23</v>
      </c>
      <c r="C13" s="35">
        <v>1</v>
      </c>
      <c r="D13" s="36" t="s">
        <v>24</v>
      </c>
      <c r="E13" s="54" t="s">
        <v>25</v>
      </c>
      <c r="F13" s="54" t="s">
        <v>26</v>
      </c>
      <c r="G13" s="37" t="s">
        <v>98</v>
      </c>
      <c r="H13" s="13" t="s">
        <v>158</v>
      </c>
      <c r="I13" s="11" t="s">
        <v>159</v>
      </c>
      <c r="J13" s="60">
        <v>0.8</v>
      </c>
      <c r="K13" s="60">
        <f>Table1479101156[[#This Row],[Unit Cost]]*Table1479101156[[#This Row],[Quantity]]</f>
        <v>0.8</v>
      </c>
      <c r="L13" s="141">
        <v>0</v>
      </c>
      <c r="M13" s="141">
        <f>Table1479101156[[#This Row],[Quantity]]*Z13-Table1479101156[[#This Row],[STOCK]]</f>
        <v>0</v>
      </c>
      <c r="N13" s="141">
        <f>IF(Table1479101156[[#This Row],[Interim Value]]&lt;0,0,Table1479101156[[#This Row],[Interim Value]])</f>
        <v>0</v>
      </c>
      <c r="O13" s="105">
        <f>Table1479101156[[#This Row],[Kitting Quantity]]*Table1479101156[[#This Row],[Unit Cost]]</f>
        <v>0</v>
      </c>
      <c r="P13" s="11" t="s">
        <v>364</v>
      </c>
      <c r="Q13" s="11" t="s">
        <v>365</v>
      </c>
      <c r="Z13" s="1">
        <f>N1</f>
        <v>0</v>
      </c>
    </row>
    <row r="14" spans="1:26">
      <c r="A14" s="11">
        <v>9</v>
      </c>
      <c r="B14" s="51" t="s">
        <v>101</v>
      </c>
      <c r="C14" s="35">
        <v>1</v>
      </c>
      <c r="D14" s="36" t="s">
        <v>100</v>
      </c>
      <c r="E14" s="54" t="s">
        <v>99</v>
      </c>
      <c r="F14" s="54" t="s">
        <v>26</v>
      </c>
      <c r="G14" s="37" t="s">
        <v>86</v>
      </c>
      <c r="H14" s="13" t="s">
        <v>162</v>
      </c>
      <c r="I14" s="11" t="s">
        <v>163</v>
      </c>
      <c r="J14" s="60">
        <v>4.5</v>
      </c>
      <c r="K14" s="60">
        <f>Table1479101156[[#This Row],[Unit Cost]]*Table1479101156[[#This Row],[Quantity]]</f>
        <v>4.5</v>
      </c>
      <c r="L14" s="141">
        <v>2500</v>
      </c>
      <c r="M14" s="141">
        <f>Table1479101156[[#This Row],[Quantity]]*Z14-Table1479101156[[#This Row],[STOCK]]</f>
        <v>-2500</v>
      </c>
      <c r="N14" s="141">
        <f>IF(Table1479101156[[#This Row],[Interim Value]]&lt;0,0,Table1479101156[[#This Row],[Interim Value]])</f>
        <v>0</v>
      </c>
      <c r="O14" s="105">
        <f>Table1479101156[[#This Row],[Kitting Quantity]]*Table1479101156[[#This Row],[Unit Cost]]</f>
        <v>0</v>
      </c>
      <c r="P14" s="11" t="s">
        <v>363</v>
      </c>
      <c r="Q14" s="11" t="s">
        <v>362</v>
      </c>
      <c r="Z14" s="1">
        <f>N1</f>
        <v>0</v>
      </c>
    </row>
    <row r="15" spans="1:26">
      <c r="A15" s="11">
        <v>10</v>
      </c>
      <c r="B15" s="51" t="s">
        <v>103</v>
      </c>
      <c r="C15" s="35">
        <v>1</v>
      </c>
      <c r="D15" s="36" t="s">
        <v>102</v>
      </c>
      <c r="E15" s="54" t="s">
        <v>10</v>
      </c>
      <c r="F15" s="54" t="s">
        <v>11</v>
      </c>
      <c r="G15" s="37" t="s">
        <v>86</v>
      </c>
      <c r="H15" s="13" t="s">
        <v>162</v>
      </c>
      <c r="I15" s="11" t="s">
        <v>163</v>
      </c>
      <c r="J15" s="60">
        <v>3.6</v>
      </c>
      <c r="K15" s="60">
        <f>Table1479101156[[#This Row],[Unit Cost]]*Table1479101156[[#This Row],[Quantity]]</f>
        <v>3.6</v>
      </c>
      <c r="L15" s="141">
        <v>500</v>
      </c>
      <c r="M15" s="141">
        <f>Table1479101156[[#This Row],[Quantity]]*Z15-Table1479101156[[#This Row],[STOCK]]</f>
        <v>-500</v>
      </c>
      <c r="N15" s="141">
        <f>IF(Table1479101156[[#This Row],[Interim Value]]&lt;0,0,Table1479101156[[#This Row],[Interim Value]])</f>
        <v>0</v>
      </c>
      <c r="O15" s="105">
        <f>Table1479101156[[#This Row],[Kitting Quantity]]*Table1479101156[[#This Row],[Unit Cost]]</f>
        <v>0</v>
      </c>
      <c r="P15" s="11" t="s">
        <v>363</v>
      </c>
      <c r="Q15" s="11" t="s">
        <v>362</v>
      </c>
      <c r="Z15" s="1">
        <f>N1</f>
        <v>0</v>
      </c>
    </row>
    <row r="16" spans="1:26" s="114" customFormat="1">
      <c r="A16" s="109">
        <v>11</v>
      </c>
      <c r="B16" s="120" t="s">
        <v>103</v>
      </c>
      <c r="C16" s="121">
        <v>1</v>
      </c>
      <c r="D16" s="122" t="s">
        <v>104</v>
      </c>
      <c r="E16" s="123" t="s">
        <v>10</v>
      </c>
      <c r="F16" s="123" t="s">
        <v>11</v>
      </c>
      <c r="G16" s="124" t="s">
        <v>86</v>
      </c>
      <c r="H16" s="111" t="s">
        <v>162</v>
      </c>
      <c r="I16" s="109" t="s">
        <v>163</v>
      </c>
      <c r="J16" s="125">
        <v>3.6</v>
      </c>
      <c r="K16" s="125">
        <f>Table1479101156[[#This Row],[Unit Cost]]*Table1479101156[[#This Row],[Quantity]]</f>
        <v>3.6</v>
      </c>
      <c r="L16" s="140">
        <v>0</v>
      </c>
      <c r="M16" s="140">
        <f>Table1479101156[[#This Row],[Quantity]]*Z16-Table1479101156[[#This Row],[STOCK]]</f>
        <v>0</v>
      </c>
      <c r="N16" s="140">
        <f>IF(Table1479101156[[#This Row],[Interim Value]]&lt;0,0,Table1479101156[[#This Row],[Interim Value]])</f>
        <v>0</v>
      </c>
      <c r="O16" s="113">
        <f>Table1479101156[[#This Row],[Kitting Quantity]]*Table1479101156[[#This Row],[Unit Cost]]</f>
        <v>0</v>
      </c>
      <c r="P16" s="11" t="s">
        <v>363</v>
      </c>
      <c r="Q16" s="11" t="s">
        <v>362</v>
      </c>
      <c r="Z16" s="391">
        <f>N1</f>
        <v>0</v>
      </c>
    </row>
    <row r="17" spans="1:26" s="127" customFormat="1">
      <c r="A17" s="11">
        <v>12</v>
      </c>
      <c r="B17" s="51" t="s">
        <v>27</v>
      </c>
      <c r="C17" s="35">
        <v>1</v>
      </c>
      <c r="D17" s="36" t="s">
        <v>28</v>
      </c>
      <c r="E17" s="54" t="s">
        <v>29</v>
      </c>
      <c r="F17" s="54" t="s">
        <v>30</v>
      </c>
      <c r="G17" s="37" t="s">
        <v>88</v>
      </c>
      <c r="H17" s="14" t="s">
        <v>147</v>
      </c>
      <c r="I17" s="11" t="s">
        <v>151</v>
      </c>
      <c r="J17" s="60">
        <v>3.5</v>
      </c>
      <c r="K17" s="60">
        <f>Table1479101156[[#This Row],[Unit Cost]]*Table1479101156[[#This Row],[Quantity]]</f>
        <v>3.5</v>
      </c>
      <c r="L17" s="141">
        <v>745</v>
      </c>
      <c r="M17" s="141">
        <f>Table1479101156[[#This Row],[Quantity]]*Z17-Table1479101156[[#This Row],[STOCK]]</f>
        <v>-745</v>
      </c>
      <c r="N17" s="141">
        <f>IF(Table1479101156[[#This Row],[Interim Value]]&lt;0,0,Table1479101156[[#This Row],[Interim Value]])</f>
        <v>0</v>
      </c>
      <c r="O17" s="105">
        <f>Table1479101156[[#This Row],[Kitting Quantity]]*Table1479101156[[#This Row],[Unit Cost]]</f>
        <v>0</v>
      </c>
      <c r="P17" s="11" t="s">
        <v>292</v>
      </c>
      <c r="Q17" s="11" t="s">
        <v>362</v>
      </c>
      <c r="Z17" s="392">
        <f>N1</f>
        <v>0</v>
      </c>
    </row>
    <row r="18" spans="1:26">
      <c r="A18" s="11">
        <v>13</v>
      </c>
      <c r="B18" s="51" t="s">
        <v>31</v>
      </c>
      <c r="C18" s="30">
        <v>1</v>
      </c>
      <c r="D18" s="31" t="s">
        <v>106</v>
      </c>
      <c r="E18" s="48" t="s">
        <v>105</v>
      </c>
      <c r="F18" s="48" t="s">
        <v>33</v>
      </c>
      <c r="G18" s="32" t="s">
        <v>88</v>
      </c>
      <c r="H18" s="14" t="s">
        <v>147</v>
      </c>
      <c r="I18" s="11" t="s">
        <v>151</v>
      </c>
      <c r="J18" s="60">
        <v>0.45</v>
      </c>
      <c r="K18" s="60">
        <f>Table1479101156[[#This Row],[Unit Cost]]*Table1479101156[[#This Row],[Quantity]]</f>
        <v>0.45</v>
      </c>
      <c r="L18" s="141">
        <v>0</v>
      </c>
      <c r="M18" s="141">
        <f>Table1479101156[[#This Row],[Quantity]]*Z18-Table1479101156[[#This Row],[STOCK]]</f>
        <v>0</v>
      </c>
      <c r="N18" s="141">
        <f>IF(Table1479101156[[#This Row],[Interim Value]]&lt;0,0,Table1479101156[[#This Row],[Interim Value]])</f>
        <v>0</v>
      </c>
      <c r="O18" s="105">
        <f>Table1479101156[[#This Row],[Kitting Quantity]]*Table1479101156[[#This Row],[Unit Cost]]</f>
        <v>0</v>
      </c>
      <c r="P18" s="11" t="s">
        <v>292</v>
      </c>
      <c r="Q18" s="11" t="s">
        <v>362</v>
      </c>
      <c r="Z18" s="1">
        <f>N1</f>
        <v>0</v>
      </c>
    </row>
    <row r="19" spans="1:26">
      <c r="A19" s="11">
        <v>14</v>
      </c>
      <c r="B19" s="51" t="s">
        <v>31</v>
      </c>
      <c r="C19" s="30">
        <v>1</v>
      </c>
      <c r="D19" s="31" t="s">
        <v>107</v>
      </c>
      <c r="E19" s="48" t="s">
        <v>105</v>
      </c>
      <c r="F19" s="48" t="s">
        <v>33</v>
      </c>
      <c r="G19" s="32" t="s">
        <v>88</v>
      </c>
      <c r="H19" s="14" t="s">
        <v>147</v>
      </c>
      <c r="I19" s="11" t="s">
        <v>151</v>
      </c>
      <c r="J19" s="60">
        <v>0.45</v>
      </c>
      <c r="K19" s="60">
        <f>Table1479101156[[#This Row],[Unit Cost]]*Table1479101156[[#This Row],[Quantity]]</f>
        <v>0.45</v>
      </c>
      <c r="L19" s="141">
        <v>0</v>
      </c>
      <c r="M19" s="141">
        <f>Table1479101156[[#This Row],[Quantity]]*Z19-Table1479101156[[#This Row],[STOCK]]</f>
        <v>0</v>
      </c>
      <c r="N19" s="141">
        <f>IF(Table1479101156[[#This Row],[Interim Value]]&lt;0,0,Table1479101156[[#This Row],[Interim Value]])</f>
        <v>0</v>
      </c>
      <c r="O19" s="105">
        <f>Table1479101156[[#This Row],[Kitting Quantity]]*Table1479101156[[#This Row],[Unit Cost]]</f>
        <v>0</v>
      </c>
      <c r="P19" s="11" t="s">
        <v>292</v>
      </c>
      <c r="Q19" s="11" t="s">
        <v>362</v>
      </c>
      <c r="Z19" s="1">
        <f>N1</f>
        <v>0</v>
      </c>
    </row>
    <row r="20" spans="1:26">
      <c r="A20" s="11">
        <v>15</v>
      </c>
      <c r="B20" s="51" t="s">
        <v>31</v>
      </c>
      <c r="C20" s="30">
        <v>1</v>
      </c>
      <c r="D20" s="31" t="s">
        <v>108</v>
      </c>
      <c r="E20" s="48" t="s">
        <v>105</v>
      </c>
      <c r="F20" s="48" t="s">
        <v>33</v>
      </c>
      <c r="G20" s="32" t="s">
        <v>88</v>
      </c>
      <c r="H20" s="14" t="s">
        <v>147</v>
      </c>
      <c r="I20" s="11" t="s">
        <v>151</v>
      </c>
      <c r="J20" s="60">
        <v>0.45</v>
      </c>
      <c r="K20" s="60">
        <f>Table1479101156[[#This Row],[Unit Cost]]*Table1479101156[[#This Row],[Quantity]]</f>
        <v>0.45</v>
      </c>
      <c r="L20" s="141">
        <v>0</v>
      </c>
      <c r="M20" s="141">
        <f>Table1479101156[[#This Row],[Quantity]]*Z20-Table1479101156[[#This Row],[STOCK]]</f>
        <v>0</v>
      </c>
      <c r="N20" s="141">
        <f>IF(Table1479101156[[#This Row],[Interim Value]]&lt;0,0,Table1479101156[[#This Row],[Interim Value]])</f>
        <v>0</v>
      </c>
      <c r="O20" s="105">
        <f>Table1479101156[[#This Row],[Kitting Quantity]]*Table1479101156[[#This Row],[Unit Cost]]</f>
        <v>0</v>
      </c>
      <c r="P20" s="11" t="s">
        <v>292</v>
      </c>
      <c r="Q20" s="11" t="s">
        <v>362</v>
      </c>
      <c r="Z20" s="1">
        <f>N1</f>
        <v>0</v>
      </c>
    </row>
    <row r="21" spans="1:26">
      <c r="A21" s="11">
        <v>16</v>
      </c>
      <c r="B21" s="47" t="s">
        <v>112</v>
      </c>
      <c r="C21" s="30">
        <v>1</v>
      </c>
      <c r="D21" s="31" t="s">
        <v>110</v>
      </c>
      <c r="E21" s="48" t="s">
        <v>109</v>
      </c>
      <c r="F21" s="48" t="s">
        <v>111</v>
      </c>
      <c r="G21" s="32" t="s">
        <v>88</v>
      </c>
      <c r="H21" s="13" t="s">
        <v>168</v>
      </c>
      <c r="I21" s="11" t="s">
        <v>169</v>
      </c>
      <c r="J21" s="60">
        <v>2.5</v>
      </c>
      <c r="K21" s="60">
        <f>Table1479101156[[#This Row],[Unit Cost]]*Table1479101156[[#This Row],[Quantity]]</f>
        <v>2.5</v>
      </c>
      <c r="L21" s="141">
        <v>0</v>
      </c>
      <c r="M21" s="141">
        <f>Table1479101156[[#This Row],[Quantity]]*Z21-Table1479101156[[#This Row],[STOCK]]</f>
        <v>0</v>
      </c>
      <c r="N21" s="141">
        <f>IF(Table1479101156[[#This Row],[Interim Value]]&lt;0,0,Table1479101156[[#This Row],[Interim Value]])</f>
        <v>0</v>
      </c>
      <c r="O21" s="105">
        <f>Table1479101156[[#This Row],[Kitting Quantity]]*Table1479101156[[#This Row],[Unit Cost]]</f>
        <v>0</v>
      </c>
      <c r="P21" s="11" t="s">
        <v>363</v>
      </c>
      <c r="Q21" s="11" t="s">
        <v>362</v>
      </c>
      <c r="Z21" s="1">
        <f>N1</f>
        <v>0</v>
      </c>
    </row>
    <row r="22" spans="1:26">
      <c r="A22" s="11">
        <v>17</v>
      </c>
      <c r="B22" s="47" t="s">
        <v>34</v>
      </c>
      <c r="C22" s="30">
        <v>1</v>
      </c>
      <c r="D22" s="31" t="s">
        <v>35</v>
      </c>
      <c r="E22" s="48" t="s">
        <v>36</v>
      </c>
      <c r="F22" s="48" t="s">
        <v>37</v>
      </c>
      <c r="G22" s="32" t="s">
        <v>90</v>
      </c>
      <c r="H22" s="13" t="s">
        <v>172</v>
      </c>
      <c r="I22" s="13" t="s">
        <v>172</v>
      </c>
      <c r="J22" s="60">
        <v>7.5</v>
      </c>
      <c r="K22" s="60">
        <f>Table1479101156[[#This Row],[Unit Cost]]*Table1479101156[[#This Row],[Quantity]]</f>
        <v>7.5</v>
      </c>
      <c r="L22" s="141">
        <v>0</v>
      </c>
      <c r="M22" s="141">
        <f>Table1479101156[[#This Row],[Quantity]]*Z22-Table1479101156[[#This Row],[STOCK]]</f>
        <v>0</v>
      </c>
      <c r="N22" s="141">
        <f>IF(Table1479101156[[#This Row],[Interim Value]]&lt;0,0,Table1479101156[[#This Row],[Interim Value]])</f>
        <v>0</v>
      </c>
      <c r="O22" s="105">
        <f>Table1479101156[[#This Row],[Kitting Quantity]]*Table1479101156[[#This Row],[Unit Cost]]</f>
        <v>0</v>
      </c>
      <c r="P22" s="11" t="s">
        <v>172</v>
      </c>
      <c r="Q22" s="11" t="s">
        <v>366</v>
      </c>
      <c r="Z22" s="1">
        <f>N1</f>
        <v>0</v>
      </c>
    </row>
    <row r="23" spans="1:26">
      <c r="A23" s="11">
        <v>18</v>
      </c>
      <c r="B23" s="47" t="s">
        <v>116</v>
      </c>
      <c r="C23" s="30">
        <v>1</v>
      </c>
      <c r="D23" s="31" t="s">
        <v>114</v>
      </c>
      <c r="E23" s="48" t="s">
        <v>113</v>
      </c>
      <c r="F23" s="48" t="s">
        <v>115</v>
      </c>
      <c r="G23" s="32" t="s">
        <v>88</v>
      </c>
      <c r="H23" s="34" t="s">
        <v>92</v>
      </c>
      <c r="I23" s="11" t="s">
        <v>92</v>
      </c>
      <c r="J23" s="60">
        <v>0.9</v>
      </c>
      <c r="K23" s="60">
        <f>Table1479101156[[#This Row],[Unit Cost]]*Table1479101156[[#This Row],[Quantity]]</f>
        <v>0.9</v>
      </c>
      <c r="L23" s="141">
        <v>7500</v>
      </c>
      <c r="M23" s="141">
        <f>Table1479101156[[#This Row],[Quantity]]*Z23-Table1479101156[[#This Row],[STOCK]]</f>
        <v>-7500</v>
      </c>
      <c r="N23" s="141">
        <f>IF(Table1479101156[[#This Row],[Interim Value]]&lt;0,0,Table1479101156[[#This Row],[Interim Value]])</f>
        <v>0</v>
      </c>
      <c r="O23" s="105">
        <f>Table1479101156[[#This Row],[Kitting Quantity]]*Table1479101156[[#This Row],[Unit Cost]]</f>
        <v>0</v>
      </c>
      <c r="P23" s="160" t="s">
        <v>92</v>
      </c>
      <c r="Q23" s="100" t="s">
        <v>367</v>
      </c>
      <c r="Z23" s="1">
        <f>N1</f>
        <v>0</v>
      </c>
    </row>
    <row r="24" spans="1:26" s="114" customFormat="1">
      <c r="A24" s="109">
        <v>19</v>
      </c>
      <c r="B24" s="120" t="s">
        <v>116</v>
      </c>
      <c r="C24" s="121">
        <v>1</v>
      </c>
      <c r="D24" s="122" t="s">
        <v>117</v>
      </c>
      <c r="E24" s="126" t="s">
        <v>113</v>
      </c>
      <c r="F24" s="123" t="s">
        <v>115</v>
      </c>
      <c r="G24" s="124" t="s">
        <v>88</v>
      </c>
      <c r="H24" s="128" t="s">
        <v>92</v>
      </c>
      <c r="I24" s="109" t="s">
        <v>92</v>
      </c>
      <c r="J24" s="125">
        <v>0.9</v>
      </c>
      <c r="K24" s="125">
        <f>Table1479101156[[#This Row],[Unit Cost]]*Table1479101156[[#This Row],[Quantity]]</f>
        <v>0.9</v>
      </c>
      <c r="L24" s="140">
        <v>0</v>
      </c>
      <c r="M24" s="140">
        <f>Table1479101156[[#This Row],[Quantity]]*Z24-Table1479101156[[#This Row],[STOCK]]</f>
        <v>0</v>
      </c>
      <c r="N24" s="140">
        <f>IF(Table1479101156[[#This Row],[Interim Value]]&lt;0,0,Table1479101156[[#This Row],[Interim Value]])</f>
        <v>0</v>
      </c>
      <c r="O24" s="113">
        <f>Table1479101156[[#This Row],[Kitting Quantity]]*Table1479101156[[#This Row],[Unit Cost]]</f>
        <v>0</v>
      </c>
      <c r="P24" s="160" t="s">
        <v>92</v>
      </c>
      <c r="Q24" s="100" t="s">
        <v>367</v>
      </c>
      <c r="Z24" s="391">
        <f>N1</f>
        <v>0</v>
      </c>
    </row>
    <row r="25" spans="1:26" s="114" customFormat="1">
      <c r="A25" s="109">
        <v>20</v>
      </c>
      <c r="B25" s="120" t="s">
        <v>116</v>
      </c>
      <c r="C25" s="121">
        <v>1</v>
      </c>
      <c r="D25" s="122" t="s">
        <v>118</v>
      </c>
      <c r="E25" s="126" t="s">
        <v>113</v>
      </c>
      <c r="F25" s="123" t="s">
        <v>115</v>
      </c>
      <c r="G25" s="124" t="s">
        <v>88</v>
      </c>
      <c r="H25" s="128" t="s">
        <v>92</v>
      </c>
      <c r="I25" s="109" t="s">
        <v>92</v>
      </c>
      <c r="J25" s="125">
        <v>0.9</v>
      </c>
      <c r="K25" s="125">
        <f>Table1479101156[[#This Row],[Unit Cost]]*Table1479101156[[#This Row],[Quantity]]</f>
        <v>0.9</v>
      </c>
      <c r="L25" s="140">
        <v>0</v>
      </c>
      <c r="M25" s="140">
        <f>Table1479101156[[#This Row],[Quantity]]*Z25-Table1479101156[[#This Row],[STOCK]]</f>
        <v>0</v>
      </c>
      <c r="N25" s="140">
        <f>IF(Table1479101156[[#This Row],[Interim Value]]&lt;0,0,Table1479101156[[#This Row],[Interim Value]])</f>
        <v>0</v>
      </c>
      <c r="O25" s="113">
        <f>Table1479101156[[#This Row],[Kitting Quantity]]*Table1479101156[[#This Row],[Unit Cost]]</f>
        <v>0</v>
      </c>
      <c r="P25" s="160" t="s">
        <v>92</v>
      </c>
      <c r="Q25" s="100" t="s">
        <v>367</v>
      </c>
      <c r="Z25" s="391">
        <f>N1</f>
        <v>0</v>
      </c>
    </row>
    <row r="26" spans="1:26">
      <c r="A26" s="11">
        <v>21</v>
      </c>
      <c r="B26" s="47" t="s">
        <v>120</v>
      </c>
      <c r="C26" s="30">
        <v>1</v>
      </c>
      <c r="D26" s="31" t="s">
        <v>39</v>
      </c>
      <c r="E26" s="48" t="s">
        <v>119</v>
      </c>
      <c r="F26" s="48" t="s">
        <v>41</v>
      </c>
      <c r="G26" s="32" t="s">
        <v>88</v>
      </c>
      <c r="H26" s="13" t="s">
        <v>174</v>
      </c>
      <c r="I26" s="11" t="s">
        <v>175</v>
      </c>
      <c r="J26" s="60">
        <v>3</v>
      </c>
      <c r="K26" s="60">
        <f>Table1479101156[[#This Row],[Unit Cost]]*Table1479101156[[#This Row],[Quantity]]</f>
        <v>3</v>
      </c>
      <c r="L26" s="141">
        <v>0</v>
      </c>
      <c r="M26" s="141">
        <f>Table1479101156[[#This Row],[Quantity]]*Z26-Table1479101156[[#This Row],[STOCK]]</f>
        <v>0</v>
      </c>
      <c r="N26" s="141">
        <f>IF(Table1479101156[[#This Row],[Interim Value]]&lt;0,0,Table1479101156[[#This Row],[Interim Value]])</f>
        <v>0</v>
      </c>
      <c r="O26" s="117">
        <f>Table1479101156[[#This Row],[Kitting Quantity]]*Table1479101156[[#This Row],[Unit Cost]]</f>
        <v>0</v>
      </c>
      <c r="P26" s="11" t="s">
        <v>363</v>
      </c>
      <c r="Q26" s="11" t="s">
        <v>362</v>
      </c>
      <c r="Z26" s="1">
        <f>N1</f>
        <v>0</v>
      </c>
    </row>
    <row r="27" spans="1:26" s="1" customFormat="1">
      <c r="A27" s="11">
        <v>22</v>
      </c>
      <c r="B27" s="47" t="s">
        <v>42</v>
      </c>
      <c r="C27" s="30">
        <v>1</v>
      </c>
      <c r="D27" s="31" t="s">
        <v>43</v>
      </c>
      <c r="E27" s="48" t="s">
        <v>44</v>
      </c>
      <c r="F27" s="48" t="s">
        <v>45</v>
      </c>
      <c r="G27" s="31" t="s">
        <v>88</v>
      </c>
      <c r="H27" s="14" t="s">
        <v>178</v>
      </c>
      <c r="I27" s="11" t="s">
        <v>179</v>
      </c>
      <c r="J27" s="60">
        <v>11.9</v>
      </c>
      <c r="K27" s="60">
        <f>Table1479101156[[#This Row],[Unit Cost]]*Table1479101156[[#This Row],[Quantity]]</f>
        <v>11.9</v>
      </c>
      <c r="L27" s="141">
        <v>0</v>
      </c>
      <c r="M27" s="141">
        <f>Table1479101156[[#This Row],[Quantity]]*Z27-Table1479101156[[#This Row],[STOCK]]</f>
        <v>0</v>
      </c>
      <c r="N27" s="141">
        <f>IF(Table1479101156[[#This Row],[Interim Value]]&lt;0,0,Table1479101156[[#This Row],[Interim Value]])</f>
        <v>0</v>
      </c>
      <c r="O27" s="105">
        <f>Table1479101156[[#This Row],[Kitting Quantity]]*Table1479101156[[#This Row],[Unit Cost]]</f>
        <v>0</v>
      </c>
      <c r="P27" s="11" t="s">
        <v>363</v>
      </c>
      <c r="Q27" s="11" t="s">
        <v>362</v>
      </c>
      <c r="Z27" s="1">
        <f>N1</f>
        <v>0</v>
      </c>
    </row>
    <row r="28" spans="1:26">
      <c r="A28" s="11">
        <v>23</v>
      </c>
      <c r="B28" s="47" t="s">
        <v>46</v>
      </c>
      <c r="C28" s="30">
        <v>1</v>
      </c>
      <c r="D28" s="31" t="s">
        <v>47</v>
      </c>
      <c r="E28" s="48" t="s">
        <v>48</v>
      </c>
      <c r="F28" s="48" t="s">
        <v>49</v>
      </c>
      <c r="G28" s="32" t="s">
        <v>88</v>
      </c>
      <c r="H28" s="13" t="s">
        <v>180</v>
      </c>
      <c r="I28" s="11" t="s">
        <v>181</v>
      </c>
      <c r="J28" s="60">
        <v>0.05</v>
      </c>
      <c r="K28" s="60">
        <f>Table1479101156[[#This Row],[Unit Cost]]*Table1479101156[[#This Row],[Quantity]]</f>
        <v>0.05</v>
      </c>
      <c r="L28" s="141">
        <v>1750</v>
      </c>
      <c r="M28" s="141">
        <f>Table1479101156[[#This Row],[Quantity]]*Z28-Table1479101156[[#This Row],[STOCK]]</f>
        <v>-1750</v>
      </c>
      <c r="N28" s="141">
        <f>IF(Table1479101156[[#This Row],[Interim Value]]&lt;0,0,Table1479101156[[#This Row],[Interim Value]])</f>
        <v>0</v>
      </c>
      <c r="O28" s="105">
        <f>Table1479101156[[#This Row],[Kitting Quantity]]*Table1479101156[[#This Row],[Unit Cost]]</f>
        <v>0</v>
      </c>
      <c r="P28" s="11" t="s">
        <v>292</v>
      </c>
      <c r="Q28" s="11" t="s">
        <v>362</v>
      </c>
      <c r="Z28" s="1">
        <f>N1</f>
        <v>0</v>
      </c>
    </row>
    <row r="29" spans="1:26">
      <c r="A29" s="11">
        <v>24</v>
      </c>
      <c r="B29" s="47" t="s">
        <v>123</v>
      </c>
      <c r="C29" s="30">
        <v>1</v>
      </c>
      <c r="D29" s="31" t="s">
        <v>51</v>
      </c>
      <c r="E29" s="48" t="s">
        <v>121</v>
      </c>
      <c r="F29" s="48" t="s">
        <v>53</v>
      </c>
      <c r="G29" s="32" t="s">
        <v>122</v>
      </c>
      <c r="H29" s="13" t="s">
        <v>180</v>
      </c>
      <c r="I29" s="11" t="s">
        <v>181</v>
      </c>
      <c r="J29" s="60">
        <v>0.2</v>
      </c>
      <c r="K29" s="60">
        <f>Table1479101156[[#This Row],[Unit Cost]]*Table1479101156[[#This Row],[Quantity]]</f>
        <v>0.2</v>
      </c>
      <c r="L29" s="141">
        <v>0</v>
      </c>
      <c r="M29" s="141">
        <f>Table1479101156[[#This Row],[Quantity]]*Z29-Table1479101156[[#This Row],[STOCK]]</f>
        <v>0</v>
      </c>
      <c r="N29" s="141">
        <f>IF(Table1479101156[[#This Row],[Interim Value]]&lt;0,0,Table1479101156[[#This Row],[Interim Value]])</f>
        <v>0</v>
      </c>
      <c r="O29" s="105">
        <f>Table1479101156[[#This Row],[Kitting Quantity]]*Table1479101156[[#This Row],[Unit Cost]]</f>
        <v>0</v>
      </c>
      <c r="P29" s="11" t="s">
        <v>292</v>
      </c>
      <c r="Q29" s="11" t="s">
        <v>362</v>
      </c>
      <c r="Z29" s="1">
        <f>N1</f>
        <v>0</v>
      </c>
    </row>
    <row r="30" spans="1:26" s="138" customFormat="1">
      <c r="A30" s="129">
        <v>25</v>
      </c>
      <c r="B30" s="130" t="s">
        <v>192</v>
      </c>
      <c r="C30" s="131">
        <v>1</v>
      </c>
      <c r="D30" s="132" t="s">
        <v>79</v>
      </c>
      <c r="E30" s="133" t="s">
        <v>80</v>
      </c>
      <c r="F30" s="133" t="s">
        <v>53</v>
      </c>
      <c r="G30" s="134" t="s">
        <v>122</v>
      </c>
      <c r="H30" s="135" t="s">
        <v>180</v>
      </c>
      <c r="I30" s="129" t="s">
        <v>181</v>
      </c>
      <c r="J30" s="136">
        <v>0.5</v>
      </c>
      <c r="K30" s="136">
        <f>Table1479101156[[#This Row],[Unit Cost]]*Table1479101156[[#This Row],[Quantity]]</f>
        <v>0.5</v>
      </c>
      <c r="L30" s="142">
        <v>2525</v>
      </c>
      <c r="M30" s="142">
        <f>Table1479101156[[#This Row],[Quantity]]*Z30-Table1479101156[[#This Row],[STOCK]]</f>
        <v>-2525</v>
      </c>
      <c r="N30" s="142">
        <f>IF(Table1479101156[[#This Row],[Interim Value]]&lt;0,0,Table1479101156[[#This Row],[Interim Value]])</f>
        <v>0</v>
      </c>
      <c r="O30" s="137">
        <f>Table1479101156[[#This Row],[Kitting Quantity]]*Table1479101156[[#This Row],[Unit Cost]]</f>
        <v>0</v>
      </c>
      <c r="P30" s="11" t="s">
        <v>292</v>
      </c>
      <c r="Q30" s="11" t="s">
        <v>362</v>
      </c>
      <c r="Z30" s="393">
        <f>N1</f>
        <v>0</v>
      </c>
    </row>
    <row r="31" spans="1:26">
      <c r="A31" s="11">
        <v>26</v>
      </c>
      <c r="B31" s="47" t="s">
        <v>54</v>
      </c>
      <c r="C31" s="30">
        <v>1</v>
      </c>
      <c r="D31" s="31" t="s">
        <v>55</v>
      </c>
      <c r="E31" s="48" t="s">
        <v>357</v>
      </c>
      <c r="F31" s="48" t="s">
        <v>49</v>
      </c>
      <c r="G31" s="32" t="s">
        <v>122</v>
      </c>
      <c r="H31" s="13" t="s">
        <v>180</v>
      </c>
      <c r="I31" s="11" t="s">
        <v>181</v>
      </c>
      <c r="J31" s="60">
        <v>0.05</v>
      </c>
      <c r="K31" s="60">
        <f>Table1479101156[[#This Row],[Unit Cost]]*Table1479101156[[#This Row],[Quantity]]</f>
        <v>0.05</v>
      </c>
      <c r="L31" s="141">
        <v>0</v>
      </c>
      <c r="M31" s="141">
        <f>Table1479101156[[#This Row],[Quantity]]*Z31-Table1479101156[[#This Row],[STOCK]]</f>
        <v>0</v>
      </c>
      <c r="N31" s="141">
        <f>IF(Table1479101156[[#This Row],[Interim Value]]&lt;0,0,Table1479101156[[#This Row],[Interim Value]])</f>
        <v>0</v>
      </c>
      <c r="O31" s="105">
        <f>Table1479101156[[#This Row],[Kitting Quantity]]*Table1479101156[[#This Row],[Unit Cost]]</f>
        <v>0</v>
      </c>
      <c r="P31" s="11" t="s">
        <v>292</v>
      </c>
      <c r="Q31" s="11" t="s">
        <v>362</v>
      </c>
      <c r="Z31" s="1">
        <f>N1</f>
        <v>0</v>
      </c>
    </row>
    <row r="32" spans="1:26">
      <c r="A32" s="11">
        <v>27</v>
      </c>
      <c r="B32" s="47" t="s">
        <v>58</v>
      </c>
      <c r="C32" s="30">
        <v>1</v>
      </c>
      <c r="D32" s="31" t="s">
        <v>59</v>
      </c>
      <c r="E32" s="48" t="s">
        <v>60</v>
      </c>
      <c r="F32" s="48" t="s">
        <v>49</v>
      </c>
      <c r="G32" s="32" t="s">
        <v>122</v>
      </c>
      <c r="H32" s="13" t="s">
        <v>180</v>
      </c>
      <c r="I32" s="11" t="s">
        <v>181</v>
      </c>
      <c r="J32" s="60">
        <v>0.05</v>
      </c>
      <c r="K32" s="60">
        <f>Table1479101156[[#This Row],[Unit Cost]]*Table1479101156[[#This Row],[Quantity]]</f>
        <v>0.05</v>
      </c>
      <c r="L32" s="141">
        <v>0</v>
      </c>
      <c r="M32" s="141">
        <f>Table1479101156[[#This Row],[Quantity]]*Z32-Table1479101156[[#This Row],[STOCK]]</f>
        <v>0</v>
      </c>
      <c r="N32" s="141">
        <f>IF(Table1479101156[[#This Row],[Interim Value]]&lt;0,0,Table1479101156[[#This Row],[Interim Value]])</f>
        <v>0</v>
      </c>
      <c r="O32" s="105">
        <f>Table1479101156[[#This Row],[Kitting Quantity]]*Table1479101156[[#This Row],[Unit Cost]]</f>
        <v>0</v>
      </c>
      <c r="P32" s="11" t="s">
        <v>292</v>
      </c>
      <c r="Q32" s="11" t="s">
        <v>362</v>
      </c>
      <c r="Z32" s="1">
        <f>N1</f>
        <v>0</v>
      </c>
    </row>
    <row r="33" spans="1:26">
      <c r="A33" s="11">
        <v>28</v>
      </c>
      <c r="B33" s="47" t="s">
        <v>125</v>
      </c>
      <c r="C33" s="30">
        <v>1</v>
      </c>
      <c r="D33" s="31" t="s">
        <v>62</v>
      </c>
      <c r="E33" s="48" t="s">
        <v>126</v>
      </c>
      <c r="F33" s="48" t="s">
        <v>49</v>
      </c>
      <c r="G33" s="32" t="s">
        <v>122</v>
      </c>
      <c r="H33" s="13" t="s">
        <v>180</v>
      </c>
      <c r="I33" s="11" t="s">
        <v>181</v>
      </c>
      <c r="J33" s="60">
        <v>0.05</v>
      </c>
      <c r="K33" s="60">
        <f>Table1479101156[[#This Row],[Unit Cost]]*Table1479101156[[#This Row],[Quantity]]</f>
        <v>0.05</v>
      </c>
      <c r="L33" s="141">
        <v>0</v>
      </c>
      <c r="M33" s="141">
        <f>Table1479101156[[#This Row],[Quantity]]*Z33-Table1479101156[[#This Row],[STOCK]]</f>
        <v>0</v>
      </c>
      <c r="N33" s="141">
        <f>IF(Table1479101156[[#This Row],[Interim Value]]&lt;0,0,Table1479101156[[#This Row],[Interim Value]])</f>
        <v>0</v>
      </c>
      <c r="O33" s="105">
        <f>Table1479101156[[#This Row],[Kitting Quantity]]*Table1479101156[[#This Row],[Unit Cost]]</f>
        <v>0</v>
      </c>
      <c r="P33" s="11" t="s">
        <v>292</v>
      </c>
      <c r="Q33" s="11" t="s">
        <v>362</v>
      </c>
      <c r="Z33" s="1">
        <f>N1</f>
        <v>0</v>
      </c>
    </row>
    <row r="34" spans="1:26">
      <c r="A34" s="11">
        <v>29</v>
      </c>
      <c r="B34" s="51" t="s">
        <v>193</v>
      </c>
      <c r="C34" s="30">
        <v>1</v>
      </c>
      <c r="D34" s="31" t="s">
        <v>65</v>
      </c>
      <c r="E34" s="48" t="s">
        <v>66</v>
      </c>
      <c r="F34" s="48" t="s">
        <v>49</v>
      </c>
      <c r="G34" s="32" t="s">
        <v>122</v>
      </c>
      <c r="H34" s="13" t="s">
        <v>180</v>
      </c>
      <c r="I34" s="11" t="s">
        <v>181</v>
      </c>
      <c r="J34" s="60">
        <v>0.05</v>
      </c>
      <c r="K34" s="60">
        <f>Table1479101156[[#This Row],[Unit Cost]]*Table1479101156[[#This Row],[Quantity]]</f>
        <v>0.05</v>
      </c>
      <c r="L34" s="141">
        <v>4950</v>
      </c>
      <c r="M34" s="141">
        <f>Table1479101156[[#This Row],[Quantity]]*Z34-Table1479101156[[#This Row],[STOCK]]</f>
        <v>-4950</v>
      </c>
      <c r="N34" s="141">
        <f>IF(Table1479101156[[#This Row],[Interim Value]]&lt;0,0,Table1479101156[[#This Row],[Interim Value]])</f>
        <v>0</v>
      </c>
      <c r="O34" s="105">
        <f>Table1479101156[[#This Row],[Kitting Quantity]]*Table1479101156[[#This Row],[Unit Cost]]</f>
        <v>0</v>
      </c>
      <c r="P34" s="11" t="s">
        <v>292</v>
      </c>
      <c r="Q34" s="11" t="s">
        <v>362</v>
      </c>
      <c r="Z34" s="1">
        <f>N1</f>
        <v>0</v>
      </c>
    </row>
    <row r="35" spans="1:26">
      <c r="A35" s="11">
        <v>30</v>
      </c>
      <c r="B35" s="47" t="s">
        <v>67</v>
      </c>
      <c r="C35" s="30">
        <v>1</v>
      </c>
      <c r="D35" s="31" t="s">
        <v>68</v>
      </c>
      <c r="E35" s="48" t="s">
        <v>127</v>
      </c>
      <c r="F35" s="48" t="s">
        <v>57</v>
      </c>
      <c r="G35" s="32" t="s">
        <v>90</v>
      </c>
      <c r="H35" s="13" t="s">
        <v>180</v>
      </c>
      <c r="I35" s="11" t="s">
        <v>181</v>
      </c>
      <c r="J35" s="60">
        <v>0.05</v>
      </c>
      <c r="K35" s="60">
        <f>Table1479101156[[#This Row],[Unit Cost]]*Table1479101156[[#This Row],[Quantity]]</f>
        <v>0.05</v>
      </c>
      <c r="L35" s="141">
        <v>0</v>
      </c>
      <c r="M35" s="141">
        <f>Table1479101156[[#This Row],[Quantity]]*Z35-Table1479101156[[#This Row],[STOCK]]</f>
        <v>0</v>
      </c>
      <c r="N35" s="141">
        <f>IF(Table1479101156[[#This Row],[Interim Value]]&lt;0,0,Table1479101156[[#This Row],[Interim Value]])</f>
        <v>0</v>
      </c>
      <c r="O35" s="105">
        <f>Table1479101156[[#This Row],[Kitting Quantity]]*Table1479101156[[#This Row],[Unit Cost]]</f>
        <v>0</v>
      </c>
      <c r="P35" s="11" t="s">
        <v>292</v>
      </c>
      <c r="Q35" s="11" t="s">
        <v>362</v>
      </c>
      <c r="Z35" s="1">
        <f>N1</f>
        <v>0</v>
      </c>
    </row>
    <row r="36" spans="1:26">
      <c r="A36" s="11">
        <v>31</v>
      </c>
      <c r="B36" s="47" t="s">
        <v>69</v>
      </c>
      <c r="C36" s="30">
        <v>1</v>
      </c>
      <c r="D36" s="31" t="s">
        <v>70</v>
      </c>
      <c r="E36" s="48" t="s">
        <v>71</v>
      </c>
      <c r="F36" s="48" t="s">
        <v>57</v>
      </c>
      <c r="G36" s="32" t="s">
        <v>98</v>
      </c>
      <c r="H36" s="13" t="s">
        <v>180</v>
      </c>
      <c r="I36" s="11" t="s">
        <v>181</v>
      </c>
      <c r="J36" s="60">
        <v>0.05</v>
      </c>
      <c r="K36" s="60">
        <f>Table1479101156[[#This Row],[Unit Cost]]*Table1479101156[[#This Row],[Quantity]]</f>
        <v>0.05</v>
      </c>
      <c r="L36" s="141">
        <v>2615</v>
      </c>
      <c r="M36" s="141">
        <f>Table1479101156[[#This Row],[Quantity]]*Z36-Table1479101156[[#This Row],[STOCK]]</f>
        <v>-2615</v>
      </c>
      <c r="N36" s="141">
        <f>IF(Table1479101156[[#This Row],[Interim Value]]&lt;0,0,Table1479101156[[#This Row],[Interim Value]])</f>
        <v>0</v>
      </c>
      <c r="O36" s="105">
        <f>Table1479101156[[#This Row],[Kitting Quantity]]*Table1479101156[[#This Row],[Unit Cost]]</f>
        <v>0</v>
      </c>
      <c r="P36" s="11" t="s">
        <v>292</v>
      </c>
      <c r="Q36" s="11" t="s">
        <v>362</v>
      </c>
      <c r="Z36" s="1">
        <f>N1</f>
        <v>0</v>
      </c>
    </row>
    <row r="37" spans="1:26">
      <c r="A37" s="11">
        <v>32</v>
      </c>
      <c r="B37" s="47" t="s">
        <v>128</v>
      </c>
      <c r="C37" s="30">
        <v>1</v>
      </c>
      <c r="D37" s="31" t="s">
        <v>73</v>
      </c>
      <c r="E37" s="48" t="s">
        <v>74</v>
      </c>
      <c r="F37" s="48" t="s">
        <v>49</v>
      </c>
      <c r="G37" s="32" t="s">
        <v>90</v>
      </c>
      <c r="H37" s="13" t="s">
        <v>180</v>
      </c>
      <c r="I37" s="11" t="s">
        <v>181</v>
      </c>
      <c r="J37" s="60">
        <v>0.05</v>
      </c>
      <c r="K37" s="60">
        <f>Table1479101156[[#This Row],[Unit Cost]]*Table1479101156[[#This Row],[Quantity]]</f>
        <v>0.05</v>
      </c>
      <c r="L37" s="141">
        <v>0</v>
      </c>
      <c r="M37" s="141">
        <f>Table1479101156[[#This Row],[Quantity]]*Z37-Table1479101156[[#This Row],[STOCK]]</f>
        <v>0</v>
      </c>
      <c r="N37" s="141">
        <f>IF(Table1479101156[[#This Row],[Interim Value]]&lt;0,0,Table1479101156[[#This Row],[Interim Value]])</f>
        <v>0</v>
      </c>
      <c r="O37" s="105">
        <f>Table1479101156[[#This Row],[Kitting Quantity]]*Table1479101156[[#This Row],[Unit Cost]]</f>
        <v>0</v>
      </c>
      <c r="P37" s="11" t="s">
        <v>292</v>
      </c>
      <c r="Q37" s="11" t="s">
        <v>362</v>
      </c>
      <c r="Z37" s="1">
        <f>N1</f>
        <v>0</v>
      </c>
    </row>
    <row r="38" spans="1:26">
      <c r="A38" s="11">
        <v>33</v>
      </c>
      <c r="B38" s="51" t="s">
        <v>194</v>
      </c>
      <c r="C38" s="30">
        <v>1</v>
      </c>
      <c r="D38" s="31" t="s">
        <v>130</v>
      </c>
      <c r="E38" s="48" t="s">
        <v>129</v>
      </c>
      <c r="F38" s="48" t="s">
        <v>359</v>
      </c>
      <c r="G38" s="32" t="s">
        <v>90</v>
      </c>
      <c r="H38" s="13" t="s">
        <v>180</v>
      </c>
      <c r="I38" s="11" t="s">
        <v>181</v>
      </c>
      <c r="J38" s="60">
        <v>0.05</v>
      </c>
      <c r="K38" s="60">
        <f>Table1479101156[[#This Row],[Unit Cost]]*Table1479101156[[#This Row],[Quantity]]</f>
        <v>0.05</v>
      </c>
      <c r="L38" s="141">
        <v>2500</v>
      </c>
      <c r="M38" s="141">
        <f>Table1479101156[[#This Row],[Quantity]]*Z38-Table1479101156[[#This Row],[STOCK]]</f>
        <v>-2500</v>
      </c>
      <c r="N38" s="141">
        <f>IF(Table1479101156[[#This Row],[Interim Value]]&lt;0,0,Table1479101156[[#This Row],[Interim Value]])</f>
        <v>0</v>
      </c>
      <c r="O38" s="105">
        <f>Table1479101156[[#This Row],[Kitting Quantity]]*Table1479101156[[#This Row],[Unit Cost]]</f>
        <v>0</v>
      </c>
      <c r="P38" s="11" t="s">
        <v>364</v>
      </c>
      <c r="Q38" s="11" t="s">
        <v>365</v>
      </c>
      <c r="Z38" s="1">
        <f>N1</f>
        <v>0</v>
      </c>
    </row>
    <row r="39" spans="1:26">
      <c r="A39" s="11">
        <v>34</v>
      </c>
      <c r="B39" s="47" t="s">
        <v>195</v>
      </c>
      <c r="C39" s="30">
        <v>1</v>
      </c>
      <c r="D39" s="31" t="s">
        <v>131</v>
      </c>
      <c r="E39" s="48" t="s">
        <v>52</v>
      </c>
      <c r="F39" s="48" t="s">
        <v>132</v>
      </c>
      <c r="G39" s="32" t="s">
        <v>133</v>
      </c>
      <c r="H39" s="13" t="s">
        <v>180</v>
      </c>
      <c r="I39" s="11" t="s">
        <v>181</v>
      </c>
      <c r="J39" s="60">
        <v>1</v>
      </c>
      <c r="K39" s="60">
        <f>Table1479101156[[#This Row],[Unit Cost]]*Table1479101156[[#This Row],[Quantity]]</f>
        <v>1</v>
      </c>
      <c r="L39" s="141">
        <v>2500</v>
      </c>
      <c r="M39" s="141">
        <f>Table1479101156[[#This Row],[Quantity]]*Z39-Table1479101156[[#This Row],[STOCK]]</f>
        <v>-2500</v>
      </c>
      <c r="N39" s="141">
        <f>IF(Table1479101156[[#This Row],[Interim Value]]&lt;0,0,Table1479101156[[#This Row],[Interim Value]])</f>
        <v>0</v>
      </c>
      <c r="O39" s="105">
        <f>Table1479101156[[#This Row],[Kitting Quantity]]*Table1479101156[[#This Row],[Unit Cost]]</f>
        <v>0</v>
      </c>
      <c r="P39" s="160" t="s">
        <v>92</v>
      </c>
      <c r="Q39" s="100" t="s">
        <v>367</v>
      </c>
      <c r="Z39" s="1">
        <f>N1</f>
        <v>0</v>
      </c>
    </row>
    <row r="40" spans="1:26">
      <c r="A40" s="11">
        <v>35</v>
      </c>
      <c r="B40" s="47"/>
      <c r="C40" s="30">
        <v>1</v>
      </c>
      <c r="D40" s="31" t="s">
        <v>135</v>
      </c>
      <c r="E40" s="48" t="s">
        <v>134</v>
      </c>
      <c r="F40" s="48" t="s">
        <v>41</v>
      </c>
      <c r="G40" s="32" t="s">
        <v>88</v>
      </c>
      <c r="H40" s="33"/>
      <c r="I40" s="33"/>
      <c r="J40" s="60">
        <v>1</v>
      </c>
      <c r="K40" s="60">
        <f>Table1479101156[[#This Row],[Unit Cost]]*Table1479101156[[#This Row],[Quantity]]</f>
        <v>1</v>
      </c>
      <c r="L40" s="141">
        <v>0</v>
      </c>
      <c r="M40" s="141">
        <f>Table1479101156[[#This Row],[Quantity]]*Z40-Table1479101156[[#This Row],[STOCK]]</f>
        <v>0</v>
      </c>
      <c r="N40" s="141">
        <f>IF(Table1479101156[[#This Row],[Interim Value]]&lt;0,0,Table1479101156[[#This Row],[Interim Value]])</f>
        <v>0</v>
      </c>
      <c r="O40" s="105">
        <f>Table1479101156[[#This Row],[Kitting Quantity]]*Table1479101156[[#This Row],[Unit Cost]]</f>
        <v>0</v>
      </c>
      <c r="P40" s="160"/>
      <c r="Q40" s="11" t="s">
        <v>362</v>
      </c>
      <c r="Z40" s="1">
        <f>N1</f>
        <v>0</v>
      </c>
    </row>
    <row r="41" spans="1:26">
      <c r="A41" s="11">
        <v>36</v>
      </c>
      <c r="B41" s="47" t="s">
        <v>83</v>
      </c>
      <c r="C41" s="30">
        <v>1</v>
      </c>
      <c r="D41" s="31" t="s">
        <v>84</v>
      </c>
      <c r="E41" s="48" t="s">
        <v>85</v>
      </c>
      <c r="F41" s="48" t="s">
        <v>136</v>
      </c>
      <c r="G41" s="32" t="s">
        <v>88</v>
      </c>
      <c r="H41" s="13" t="s">
        <v>184</v>
      </c>
      <c r="I41" s="11" t="s">
        <v>185</v>
      </c>
      <c r="J41" s="60">
        <v>15</v>
      </c>
      <c r="K41" s="60">
        <f>Table1479101156[[#This Row],[Unit Cost]]*Table1479101156[[#This Row],[Quantity]]</f>
        <v>15</v>
      </c>
      <c r="L41" s="141">
        <v>2500</v>
      </c>
      <c r="M41" s="141">
        <f>Table1479101156[[#This Row],[Quantity]]*Z41-Table1479101156[[#This Row],[STOCK]]</f>
        <v>-2500</v>
      </c>
      <c r="N41" s="141">
        <f>IF(Table1479101156[[#This Row],[Interim Value]]&lt;0,0,Table1479101156[[#This Row],[Interim Value]])</f>
        <v>0</v>
      </c>
      <c r="O41" s="105">
        <f>Table1479101156[[#This Row],[Kitting Quantity]]*Table1479101156[[#This Row],[Unit Cost]]</f>
        <v>0</v>
      </c>
      <c r="P41" s="11" t="s">
        <v>185</v>
      </c>
      <c r="Q41" s="340" t="s">
        <v>367</v>
      </c>
      <c r="Z41" s="1">
        <f>N1</f>
        <v>0</v>
      </c>
    </row>
    <row r="42" spans="1:26">
      <c r="A42" s="11">
        <v>37</v>
      </c>
      <c r="B42" s="51" t="s">
        <v>137</v>
      </c>
      <c r="C42" s="6">
        <v>1</v>
      </c>
      <c r="D42" s="6"/>
      <c r="E42" s="47" t="s">
        <v>82</v>
      </c>
      <c r="F42" s="47"/>
      <c r="G42" s="5"/>
      <c r="H42" s="33"/>
      <c r="I42" s="11" t="s">
        <v>188</v>
      </c>
      <c r="J42" s="60">
        <v>17.5</v>
      </c>
      <c r="K42" s="60">
        <f>Table1479101156[[#This Row],[Unit Cost]]*Table1479101156[[#This Row],[Quantity]]</f>
        <v>17.5</v>
      </c>
      <c r="L42" s="141">
        <v>4043</v>
      </c>
      <c r="M42" s="141">
        <f>Table1479101156[[#This Row],[Quantity]]*Z42-Table1479101156[[#This Row],[STOCK]]</f>
        <v>-4043</v>
      </c>
      <c r="N42" s="141">
        <f>IF(Table1479101156[[#This Row],[Interim Value]]&lt;0,0,Table1479101156[[#This Row],[Interim Value]])</f>
        <v>0</v>
      </c>
      <c r="O42" s="105">
        <f>Table1479101156[[#This Row],[Kitting Quantity]]*Table1479101156[[#This Row],[Unit Cost]]</f>
        <v>0</v>
      </c>
      <c r="P42" s="129" t="s">
        <v>234</v>
      </c>
      <c r="Q42" s="129" t="s">
        <v>368</v>
      </c>
      <c r="Z42" s="1">
        <f>N1</f>
        <v>0</v>
      </c>
    </row>
    <row r="43" spans="1:26">
      <c r="A43" s="39">
        <v>38</v>
      </c>
      <c r="B43" s="61"/>
      <c r="C43" s="62">
        <v>1</v>
      </c>
      <c r="D43" s="63"/>
      <c r="E43" s="64"/>
      <c r="F43" s="65" t="s">
        <v>196</v>
      </c>
      <c r="G43" s="39"/>
      <c r="H43" s="66" t="s">
        <v>199</v>
      </c>
      <c r="I43" s="39"/>
      <c r="J43" s="67">
        <v>11</v>
      </c>
      <c r="K43" s="67">
        <f>Table1479101156[[#This Row],[Unit Cost]]*Table1479101156[[#This Row],[Quantity]]</f>
        <v>11</v>
      </c>
      <c r="L43" s="143">
        <v>0</v>
      </c>
      <c r="M43" s="143">
        <f>Table1479101156[[#This Row],[Quantity]]*Z43-Table1479101156[[#This Row],[STOCK]]</f>
        <v>0</v>
      </c>
      <c r="N43" s="143">
        <f>IF(Table1479101156[[#This Row],[Interim Value]]&lt;0,0,Table1479101156[[#This Row],[Interim Value]])</f>
        <v>0</v>
      </c>
      <c r="O43" s="82">
        <f>Table1479101156[[#This Row],[Kitting Quantity]]*Table1479101156[[#This Row],[Unit Cost]]</f>
        <v>0</v>
      </c>
      <c r="P43" s="191" t="s">
        <v>235</v>
      </c>
      <c r="Q43" s="100"/>
      <c r="Z43" s="1">
        <f>N1</f>
        <v>0</v>
      </c>
    </row>
    <row r="44" spans="1:26" ht="15.75" thickBot="1">
      <c r="A44" s="26">
        <v>39</v>
      </c>
      <c r="B44" s="51" t="s">
        <v>349</v>
      </c>
      <c r="C44" s="96">
        <v>1</v>
      </c>
      <c r="D44" s="97"/>
      <c r="E44" s="98"/>
      <c r="F44" s="209" t="s">
        <v>348</v>
      </c>
      <c r="G44" s="26"/>
      <c r="H44" s="99"/>
      <c r="I44" s="26"/>
      <c r="J44" s="210">
        <v>0.3</v>
      </c>
      <c r="K44" s="210">
        <f>Table1479101156[[#This Row],[Unit Cost]]*Table1479101156[[#This Row],[Quantity]]</f>
        <v>0.3</v>
      </c>
      <c r="L44" s="144">
        <v>0</v>
      </c>
      <c r="M44" s="144">
        <f>Table1479101156[[#This Row],[Quantity]]*Z44-Table1479101156[[#This Row],[STOCK]]</f>
        <v>0</v>
      </c>
      <c r="N44" s="144">
        <f>IF(Table1479101156[[#This Row],[Interim Value]]&lt;0,0,Table1479101156[[#This Row],[Interim Value]])</f>
        <v>0</v>
      </c>
      <c r="O44" s="106">
        <f>Table1479101156[[#This Row],[Kitting Quantity]]*Table1479101156[[#This Row],[Unit Cost]]</f>
        <v>0</v>
      </c>
      <c r="P44" s="100"/>
      <c r="Q44" s="100"/>
      <c r="Z44" s="1">
        <f>N1</f>
        <v>0</v>
      </c>
    </row>
    <row r="45" spans="1:26" ht="15.75" thickBot="1">
      <c r="A45" s="381"/>
      <c r="B45" s="382"/>
      <c r="C45" s="383"/>
      <c r="D45" s="384"/>
      <c r="E45" s="385"/>
      <c r="F45" s="386" t="s">
        <v>471</v>
      </c>
      <c r="G45" s="387"/>
      <c r="H45" s="388"/>
      <c r="I45" s="387"/>
      <c r="J45" s="379"/>
      <c r="K45" s="379">
        <f>SUM(K6:K44)</f>
        <v>97.199999999999974</v>
      </c>
      <c r="L45" s="380"/>
      <c r="M45" s="380"/>
      <c r="N45" s="380"/>
      <c r="O45" s="389"/>
      <c r="P45" s="390"/>
      <c r="Q45" s="390"/>
    </row>
    <row r="46" spans="1:26">
      <c r="A46" s="207" t="s">
        <v>189</v>
      </c>
      <c r="B46" s="208"/>
      <c r="C46" s="208"/>
      <c r="D46" s="208"/>
      <c r="E46" s="208"/>
      <c r="F46" s="199"/>
      <c r="G46" s="199"/>
      <c r="H46" s="199"/>
      <c r="I46" s="199"/>
      <c r="J46" s="200"/>
      <c r="K46" s="199"/>
      <c r="L46" s="115"/>
      <c r="M46" s="115"/>
      <c r="N46" s="115"/>
      <c r="O46" s="118">
        <f>SUM(Table1479101156[[#Data],[#Totals],[PRICE]])</f>
        <v>0</v>
      </c>
    </row>
    <row r="49" spans="2:6" ht="15.75" thickBot="1"/>
    <row r="50" spans="2:6">
      <c r="B50" s="249" t="s">
        <v>509</v>
      </c>
      <c r="C50" s="255">
        <f>J41+J39+J25+J24+J23</f>
        <v>18.699999999999996</v>
      </c>
      <c r="E50" s="249" t="s">
        <v>509</v>
      </c>
      <c r="F50" s="255">
        <f>O41+O39+O24+O23+O25</f>
        <v>0</v>
      </c>
    </row>
    <row r="51" spans="2:6">
      <c r="B51" s="250" t="s">
        <v>492</v>
      </c>
      <c r="C51" s="251">
        <v>0</v>
      </c>
      <c r="E51" s="250" t="s">
        <v>492</v>
      </c>
      <c r="F51" s="251">
        <v>0</v>
      </c>
    </row>
    <row r="52" spans="2:6">
      <c r="B52" s="250" t="s">
        <v>493</v>
      </c>
      <c r="C52" s="251">
        <v>0</v>
      </c>
      <c r="E52" s="250" t="s">
        <v>493</v>
      </c>
      <c r="F52" s="251">
        <v>0</v>
      </c>
    </row>
    <row r="53" spans="2:6">
      <c r="B53" s="250" t="s">
        <v>490</v>
      </c>
      <c r="C53" s="253">
        <f>J43+J44</f>
        <v>11.3</v>
      </c>
      <c r="E53" s="250" t="s">
        <v>490</v>
      </c>
      <c r="F53" s="253">
        <f>O43+O44</f>
        <v>0</v>
      </c>
    </row>
    <row r="54" spans="2:6">
      <c r="B54" s="250" t="s">
        <v>494</v>
      </c>
      <c r="C54" s="253">
        <f>J42+SUM(J26:J38)+SUM(J6:J21)+J40</f>
        <v>59.7</v>
      </c>
      <c r="E54" s="250" t="s">
        <v>494</v>
      </c>
      <c r="F54" s="253">
        <f>O42+SUM(O26:O38)+SUM(O6:O21)+O40</f>
        <v>0</v>
      </c>
    </row>
    <row r="55" spans="2:6" ht="15.75" thickBot="1">
      <c r="B55" s="252" t="s">
        <v>495</v>
      </c>
      <c r="C55" s="254">
        <f>J22</f>
        <v>7.5</v>
      </c>
      <c r="E55" s="252" t="s">
        <v>495</v>
      </c>
      <c r="F55" s="254">
        <f>O22</f>
        <v>0</v>
      </c>
    </row>
    <row r="56" spans="2:6">
      <c r="C56" s="258">
        <f>SUM(C50:C55)</f>
        <v>97.2</v>
      </c>
    </row>
    <row r="57" spans="2:6">
      <c r="C57" s="258"/>
      <c r="F57" s="394">
        <f>SUM(F50:F56)</f>
        <v>0</v>
      </c>
    </row>
  </sheetData>
  <mergeCells count="5">
    <mergeCell ref="A1:B1"/>
    <mergeCell ref="C1:D1"/>
    <mergeCell ref="A3:O3"/>
    <mergeCell ref="A4:O4"/>
    <mergeCell ref="K1:L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topLeftCell="F34" workbookViewId="0">
      <selection activeCell="O41" sqref="O41"/>
    </sheetView>
  </sheetViews>
  <sheetFormatPr defaultRowHeight="15"/>
  <cols>
    <col min="2" max="2" width="20.42578125" bestFit="1" customWidth="1"/>
    <col min="3" max="3" width="12.42578125" bestFit="1" customWidth="1"/>
    <col min="4" max="4" width="13.5703125" bestFit="1" customWidth="1"/>
    <col min="5" max="6" width="15.7109375" bestFit="1" customWidth="1"/>
    <col min="7" max="7" width="13.28515625" customWidth="1"/>
    <col min="8" max="8" width="28" customWidth="1"/>
    <col min="9" max="9" width="38.28515625" customWidth="1"/>
    <col min="10" max="14" width="13.85546875" style="75" customWidth="1"/>
    <col min="15" max="15" width="15" style="415" customWidth="1"/>
    <col min="16" max="16" width="21.85546875" bestFit="1" customWidth="1"/>
    <col min="17" max="17" width="19" bestFit="1" customWidth="1"/>
    <col min="26" max="26" width="9.140625" style="1"/>
  </cols>
  <sheetData>
    <row r="1" spans="1:26" ht="16.5" thickBot="1">
      <c r="A1" s="348" t="s">
        <v>138</v>
      </c>
      <c r="B1" s="348"/>
      <c r="C1" s="349" t="s">
        <v>200</v>
      </c>
      <c r="D1" s="349"/>
      <c r="E1" s="7"/>
      <c r="F1" s="8"/>
      <c r="G1" s="8"/>
      <c r="H1" s="8"/>
      <c r="I1" s="8"/>
      <c r="J1" s="73"/>
      <c r="K1" s="395" t="s">
        <v>514</v>
      </c>
      <c r="L1" s="396"/>
      <c r="M1" s="333"/>
      <c r="N1" s="327">
        <f>'Detail-Planner'!E7</f>
        <v>0</v>
      </c>
      <c r="O1" s="408"/>
    </row>
    <row r="2" spans="1:26">
      <c r="A2" s="8"/>
      <c r="B2" s="8"/>
      <c r="C2" s="8"/>
      <c r="D2" s="8"/>
      <c r="E2" s="7"/>
      <c r="F2" s="8"/>
      <c r="G2" s="8"/>
      <c r="H2" s="8"/>
      <c r="I2" s="8"/>
      <c r="J2" s="73"/>
      <c r="K2" s="73"/>
      <c r="L2" s="73"/>
      <c r="M2" s="73"/>
      <c r="N2" s="73"/>
      <c r="O2" s="408"/>
    </row>
    <row r="3" spans="1:26">
      <c r="A3" s="350" t="s">
        <v>201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26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26">
      <c r="A5" s="10" t="s">
        <v>0</v>
      </c>
      <c r="B5" s="29" t="s">
        <v>139</v>
      </c>
      <c r="C5" s="10" t="s">
        <v>1</v>
      </c>
      <c r="D5" s="10" t="s">
        <v>2</v>
      </c>
      <c r="E5" s="10" t="s">
        <v>3</v>
      </c>
      <c r="F5" s="10" t="s">
        <v>140</v>
      </c>
      <c r="G5" s="10" t="s">
        <v>141</v>
      </c>
      <c r="H5" s="10" t="s">
        <v>142</v>
      </c>
      <c r="I5" s="10" t="s">
        <v>143</v>
      </c>
      <c r="J5" s="86" t="s">
        <v>470</v>
      </c>
      <c r="K5" s="86" t="s">
        <v>409</v>
      </c>
      <c r="L5" s="145" t="s">
        <v>347</v>
      </c>
      <c r="M5" s="23" t="s">
        <v>517</v>
      </c>
      <c r="N5" s="23" t="s">
        <v>514</v>
      </c>
      <c r="O5" s="409" t="s">
        <v>144</v>
      </c>
      <c r="P5" s="151" t="s">
        <v>360</v>
      </c>
      <c r="Q5" s="151" t="s">
        <v>361</v>
      </c>
    </row>
    <row r="6" spans="1:26" s="1" customFormat="1">
      <c r="A6" s="11">
        <v>1</v>
      </c>
      <c r="B6" s="11" t="s">
        <v>4</v>
      </c>
      <c r="C6" s="56">
        <v>1</v>
      </c>
      <c r="D6" s="18" t="s">
        <v>5</v>
      </c>
      <c r="E6" s="18" t="s">
        <v>202</v>
      </c>
      <c r="F6" s="18" t="s">
        <v>146</v>
      </c>
      <c r="G6" s="18" t="s">
        <v>86</v>
      </c>
      <c r="H6" s="57" t="s">
        <v>147</v>
      </c>
      <c r="I6" s="11" t="s">
        <v>148</v>
      </c>
      <c r="J6" s="217">
        <v>2.6</v>
      </c>
      <c r="K6" s="397">
        <f>Table14[[#This Row],[Unit Cost]]*Table14[[#This Row],[Quantity]]</f>
        <v>2.6</v>
      </c>
      <c r="L6" s="146">
        <v>0</v>
      </c>
      <c r="M6" s="146">
        <f>Table14[[#This Row],[Quantity]]*Z6-Table14[[#This Row],[STOCK]]</f>
        <v>0</v>
      </c>
      <c r="N6" s="146">
        <f>IF(Table14[[#This Row],[Interim Value]]&lt;0,0,Table14[[#This Row],[Interim Value]])</f>
        <v>0</v>
      </c>
      <c r="O6" s="410">
        <f>Table14[[#This Row],[Kitting Quantity]]*Table14[[#This Row],[TOTAL]]</f>
        <v>0</v>
      </c>
      <c r="P6" s="11" t="s">
        <v>292</v>
      </c>
      <c r="Q6" s="11" t="s">
        <v>362</v>
      </c>
      <c r="Z6" s="1">
        <f>N1</f>
        <v>0</v>
      </c>
    </row>
    <row r="7" spans="1:26">
      <c r="A7" s="11">
        <v>2</v>
      </c>
      <c r="B7" s="11" t="s">
        <v>12</v>
      </c>
      <c r="C7" s="56">
        <v>3</v>
      </c>
      <c r="D7" s="18" t="s">
        <v>13</v>
      </c>
      <c r="E7" s="58" t="s">
        <v>14</v>
      </c>
      <c r="F7" s="18" t="s">
        <v>15</v>
      </c>
      <c r="G7" s="18" t="s">
        <v>86</v>
      </c>
      <c r="H7" s="18" t="s">
        <v>150</v>
      </c>
      <c r="I7" s="11" t="s">
        <v>151</v>
      </c>
      <c r="J7" s="149">
        <v>0.6</v>
      </c>
      <c r="K7" s="397">
        <f>Table14[[#This Row],[Unit Cost]]*Table14[[#This Row],[Quantity]]</f>
        <v>1.7999999999999998</v>
      </c>
      <c r="L7" s="146">
        <v>0</v>
      </c>
      <c r="M7" s="146">
        <f>Table14[[#This Row],[Quantity]]*Z7-Table14[[#This Row],[STOCK]]</f>
        <v>0</v>
      </c>
      <c r="N7" s="146">
        <f>IF(Table14[[#This Row],[Interim Value]]&lt;0,0,Table14[[#This Row],[Interim Value]])</f>
        <v>0</v>
      </c>
      <c r="O7" s="410">
        <f>Table14[[#This Row],[Kitting Quantity]]*Table14[[#This Row],[TOTAL]]</f>
        <v>0</v>
      </c>
      <c r="P7" s="11" t="s">
        <v>363</v>
      </c>
      <c r="Q7" s="11" t="s">
        <v>362</v>
      </c>
      <c r="Z7" s="1">
        <f>N1</f>
        <v>0</v>
      </c>
    </row>
    <row r="8" spans="1:26">
      <c r="A8" s="11">
        <v>3</v>
      </c>
      <c r="B8" s="11" t="s">
        <v>91</v>
      </c>
      <c r="C8" s="56">
        <v>1</v>
      </c>
      <c r="D8" s="18" t="s">
        <v>17</v>
      </c>
      <c r="E8" s="18" t="s">
        <v>152</v>
      </c>
      <c r="F8" s="18" t="s">
        <v>18</v>
      </c>
      <c r="G8" s="18" t="s">
        <v>90</v>
      </c>
      <c r="H8" s="18" t="s">
        <v>153</v>
      </c>
      <c r="I8" s="11" t="s">
        <v>151</v>
      </c>
      <c r="J8" s="149">
        <v>0.2</v>
      </c>
      <c r="K8" s="397">
        <f>Table14[[#This Row],[Unit Cost]]*Table14[[#This Row],[Quantity]]</f>
        <v>0.2</v>
      </c>
      <c r="L8" s="146">
        <v>0</v>
      </c>
      <c r="M8" s="146">
        <f>Table14[[#This Row],[Quantity]]*Z8-Table14[[#This Row],[STOCK]]</f>
        <v>0</v>
      </c>
      <c r="N8" s="146">
        <f>IF(Table14[[#This Row],[Interim Value]]&lt;0,0,Table14[[#This Row],[Interim Value]])</f>
        <v>0</v>
      </c>
      <c r="O8" s="410">
        <f>Table14[[#This Row],[Kitting Quantity]]*Table14[[#This Row],[TOTAL]]</f>
        <v>0</v>
      </c>
      <c r="P8" s="11" t="s">
        <v>292</v>
      </c>
      <c r="Q8" s="11" t="s">
        <v>362</v>
      </c>
      <c r="Z8" s="1">
        <f>N1</f>
        <v>0</v>
      </c>
    </row>
    <row r="9" spans="1:26">
      <c r="A9" s="11">
        <v>4</v>
      </c>
      <c r="B9" s="11" t="s">
        <v>93</v>
      </c>
      <c r="C9" s="56">
        <v>1</v>
      </c>
      <c r="D9" s="18" t="s">
        <v>20</v>
      </c>
      <c r="E9" s="18" t="s">
        <v>154</v>
      </c>
      <c r="F9" s="18" t="s">
        <v>18</v>
      </c>
      <c r="G9" s="18" t="s">
        <v>90</v>
      </c>
      <c r="H9" s="18" t="s">
        <v>153</v>
      </c>
      <c r="I9" s="11" t="s">
        <v>151</v>
      </c>
      <c r="J9" s="149">
        <v>0.35</v>
      </c>
      <c r="K9" s="397">
        <f>Table14[[#This Row],[Unit Cost]]*Table14[[#This Row],[Quantity]]</f>
        <v>0.35</v>
      </c>
      <c r="L9" s="146">
        <v>0</v>
      </c>
      <c r="M9" s="146">
        <f>Table14[[#This Row],[Quantity]]*Z9-Table14[[#This Row],[STOCK]]</f>
        <v>0</v>
      </c>
      <c r="N9" s="146">
        <f>IF(Table14[[#This Row],[Interim Value]]&lt;0,0,Table14[[#This Row],[Interim Value]])</f>
        <v>0</v>
      </c>
      <c r="O9" s="410">
        <f>Table14[[#This Row],[Kitting Quantity]]*Table14[[#This Row],[TOTAL]]</f>
        <v>0</v>
      </c>
      <c r="P9" s="11" t="s">
        <v>292</v>
      </c>
      <c r="Q9" s="11" t="s">
        <v>362</v>
      </c>
      <c r="Z9" s="1">
        <f>N1</f>
        <v>0</v>
      </c>
    </row>
    <row r="10" spans="1:26">
      <c r="A10" s="11">
        <v>5</v>
      </c>
      <c r="B10" s="11" t="s">
        <v>21</v>
      </c>
      <c r="C10" s="56">
        <v>1</v>
      </c>
      <c r="D10" s="18" t="s">
        <v>22</v>
      </c>
      <c r="E10" s="18" t="s">
        <v>155</v>
      </c>
      <c r="F10" s="18" t="s">
        <v>18</v>
      </c>
      <c r="G10" s="18" t="s">
        <v>90</v>
      </c>
      <c r="H10" s="18" t="s">
        <v>153</v>
      </c>
      <c r="I10" s="11" t="s">
        <v>151</v>
      </c>
      <c r="J10" s="149">
        <v>0.2</v>
      </c>
      <c r="K10" s="397">
        <f>Table14[[#This Row],[Unit Cost]]*Table14[[#This Row],[Quantity]]</f>
        <v>0.2</v>
      </c>
      <c r="L10" s="146">
        <v>0</v>
      </c>
      <c r="M10" s="146">
        <f>Table14[[#This Row],[Quantity]]*Z10-Table14[[#This Row],[STOCK]]</f>
        <v>0</v>
      </c>
      <c r="N10" s="146">
        <f>IF(Table14[[#This Row],[Interim Value]]&lt;0,0,Table14[[#This Row],[Interim Value]])</f>
        <v>0</v>
      </c>
      <c r="O10" s="410">
        <f>Table14[[#This Row],[Kitting Quantity]]*Table14[[#This Row],[TOTAL]]</f>
        <v>0</v>
      </c>
      <c r="P10" s="11" t="s">
        <v>292</v>
      </c>
      <c r="Q10" s="11" t="s">
        <v>362</v>
      </c>
      <c r="Z10" s="1">
        <f>N1</f>
        <v>0</v>
      </c>
    </row>
    <row r="11" spans="1:26">
      <c r="A11" s="11">
        <v>6</v>
      </c>
      <c r="B11" s="11" t="s">
        <v>23</v>
      </c>
      <c r="C11" s="56">
        <v>1</v>
      </c>
      <c r="D11" s="18" t="s">
        <v>24</v>
      </c>
      <c r="E11" s="18" t="s">
        <v>25</v>
      </c>
      <c r="F11" s="18" t="s">
        <v>26</v>
      </c>
      <c r="G11" s="18" t="s">
        <v>98</v>
      </c>
      <c r="H11" s="18" t="s">
        <v>158</v>
      </c>
      <c r="I11" s="11" t="s">
        <v>159</v>
      </c>
      <c r="J11" s="149">
        <v>0.8</v>
      </c>
      <c r="K11" s="397">
        <f>Table14[[#This Row],[Unit Cost]]*Table14[[#This Row],[Quantity]]</f>
        <v>0.8</v>
      </c>
      <c r="L11" s="146">
        <v>0</v>
      </c>
      <c r="M11" s="146">
        <f>Table14[[#This Row],[Quantity]]*Z11-Table14[[#This Row],[STOCK]]</f>
        <v>0</v>
      </c>
      <c r="N11" s="146">
        <f>IF(Table14[[#This Row],[Interim Value]]&lt;0,0,Table14[[#This Row],[Interim Value]])</f>
        <v>0</v>
      </c>
      <c r="O11" s="410">
        <f>Table14[[#This Row],[Kitting Quantity]]*Table14[[#This Row],[TOTAL]]</f>
        <v>0</v>
      </c>
      <c r="P11" s="11" t="s">
        <v>364</v>
      </c>
      <c r="Q11" s="11" t="s">
        <v>365</v>
      </c>
      <c r="Z11" s="1">
        <f>N1</f>
        <v>0</v>
      </c>
    </row>
    <row r="12" spans="1:26">
      <c r="A12" s="11">
        <v>7</v>
      </c>
      <c r="B12" s="11" t="s">
        <v>101</v>
      </c>
      <c r="C12" s="56">
        <v>1</v>
      </c>
      <c r="D12" s="18" t="s">
        <v>100</v>
      </c>
      <c r="E12" s="18" t="s">
        <v>99</v>
      </c>
      <c r="F12" s="18" t="s">
        <v>203</v>
      </c>
      <c r="G12" s="18" t="s">
        <v>86</v>
      </c>
      <c r="H12" s="18" t="s">
        <v>162</v>
      </c>
      <c r="I12" s="11" t="s">
        <v>163</v>
      </c>
      <c r="J12" s="149">
        <v>4.5</v>
      </c>
      <c r="K12" s="397">
        <f>Table14[[#This Row],[Unit Cost]]*Table14[[#This Row],[Quantity]]</f>
        <v>4.5</v>
      </c>
      <c r="L12" s="146">
        <v>350</v>
      </c>
      <c r="M12" s="146">
        <f>Table14[[#This Row],[Quantity]]*Z12-Table14[[#This Row],[STOCK]]</f>
        <v>-350</v>
      </c>
      <c r="N12" s="146">
        <f>IF(Table14[[#This Row],[Interim Value]]&lt;0,0,Table14[[#This Row],[Interim Value]])</f>
        <v>0</v>
      </c>
      <c r="O12" s="410">
        <f>Table14[[#This Row],[Kitting Quantity]]*Table14[[#This Row],[TOTAL]]</f>
        <v>0</v>
      </c>
      <c r="P12" s="11" t="s">
        <v>363</v>
      </c>
      <c r="Q12" s="11" t="s">
        <v>362</v>
      </c>
      <c r="Z12" s="1">
        <f>N1</f>
        <v>0</v>
      </c>
    </row>
    <row r="13" spans="1:26">
      <c r="A13" s="11">
        <v>8</v>
      </c>
      <c r="B13" s="11" t="s">
        <v>103</v>
      </c>
      <c r="C13" s="56">
        <v>2</v>
      </c>
      <c r="D13" s="18" t="s">
        <v>9</v>
      </c>
      <c r="E13" s="18" t="s">
        <v>160</v>
      </c>
      <c r="F13" s="18" t="s">
        <v>161</v>
      </c>
      <c r="G13" s="18" t="s">
        <v>86</v>
      </c>
      <c r="H13" s="18" t="s">
        <v>162</v>
      </c>
      <c r="I13" s="11" t="s">
        <v>163</v>
      </c>
      <c r="J13" s="149">
        <v>3.6</v>
      </c>
      <c r="K13" s="397">
        <f>Table14[[#This Row],[Unit Cost]]*Table14[[#This Row],[Quantity]]</f>
        <v>7.2</v>
      </c>
      <c r="L13" s="146">
        <v>0</v>
      </c>
      <c r="M13" s="146">
        <f>Table14[[#This Row],[Quantity]]*Z13-Table14[[#This Row],[STOCK]]</f>
        <v>0</v>
      </c>
      <c r="N13" s="146">
        <f>IF(Table14[[#This Row],[Interim Value]]&lt;0,0,Table14[[#This Row],[Interim Value]])</f>
        <v>0</v>
      </c>
      <c r="O13" s="410">
        <f>Table14[[#This Row],[Kitting Quantity]]*Table14[[#This Row],[TOTAL]]</f>
        <v>0</v>
      </c>
      <c r="P13" s="11" t="s">
        <v>363</v>
      </c>
      <c r="Q13" s="11" t="s">
        <v>362</v>
      </c>
      <c r="Z13" s="1">
        <f>N1</f>
        <v>0</v>
      </c>
    </row>
    <row r="14" spans="1:26" s="1" customFormat="1">
      <c r="A14" s="11">
        <v>9</v>
      </c>
      <c r="B14" s="11" t="s">
        <v>27</v>
      </c>
      <c r="C14" s="56">
        <v>1</v>
      </c>
      <c r="D14" s="18" t="s">
        <v>28</v>
      </c>
      <c r="E14" s="18" t="s">
        <v>29</v>
      </c>
      <c r="F14" s="18" t="s">
        <v>204</v>
      </c>
      <c r="G14" s="18" t="s">
        <v>88</v>
      </c>
      <c r="H14" s="57" t="s">
        <v>147</v>
      </c>
      <c r="I14" s="11" t="s">
        <v>151</v>
      </c>
      <c r="J14" s="149">
        <v>3.5</v>
      </c>
      <c r="K14" s="397">
        <f>Table14[[#This Row],[Unit Cost]]*Table14[[#This Row],[Quantity]]</f>
        <v>3.5</v>
      </c>
      <c r="L14" s="146">
        <v>0</v>
      </c>
      <c r="M14" s="146">
        <f>Table14[[#This Row],[Quantity]]*Z14-Table14[[#This Row],[STOCK]]</f>
        <v>0</v>
      </c>
      <c r="N14" s="146">
        <f>IF(Table14[[#This Row],[Interim Value]]&lt;0,0,Table14[[#This Row],[Interim Value]])</f>
        <v>0</v>
      </c>
      <c r="O14" s="410">
        <f>Table14[[#This Row],[Kitting Quantity]]*Table14[[#This Row],[TOTAL]]</f>
        <v>0</v>
      </c>
      <c r="P14" s="11" t="s">
        <v>292</v>
      </c>
      <c r="Q14" s="11" t="s">
        <v>362</v>
      </c>
      <c r="Z14" s="1">
        <f>N1</f>
        <v>0</v>
      </c>
    </row>
    <row r="15" spans="1:26" s="1" customFormat="1">
      <c r="A15" s="11">
        <v>10</v>
      </c>
      <c r="B15" s="11" t="s">
        <v>31</v>
      </c>
      <c r="C15" s="56">
        <v>3</v>
      </c>
      <c r="D15" s="18" t="s">
        <v>32</v>
      </c>
      <c r="E15" s="18" t="s">
        <v>105</v>
      </c>
      <c r="F15" s="18" t="s">
        <v>33</v>
      </c>
      <c r="G15" s="18" t="s">
        <v>88</v>
      </c>
      <c r="H15" s="57" t="s">
        <v>147</v>
      </c>
      <c r="I15" s="11" t="s">
        <v>151</v>
      </c>
      <c r="J15" s="149">
        <v>0.45</v>
      </c>
      <c r="K15" s="397">
        <f>Table14[[#This Row],[Unit Cost]]*Table14[[#This Row],[Quantity]]</f>
        <v>1.35</v>
      </c>
      <c r="L15" s="146">
        <v>0</v>
      </c>
      <c r="M15" s="146">
        <f>Table14[[#This Row],[Quantity]]*Z15-Table14[[#This Row],[STOCK]]</f>
        <v>0</v>
      </c>
      <c r="N15" s="146">
        <f>IF(Table14[[#This Row],[Interim Value]]&lt;0,0,Table14[[#This Row],[Interim Value]])</f>
        <v>0</v>
      </c>
      <c r="O15" s="410">
        <f>Table14[[#This Row],[Kitting Quantity]]*Table14[[#This Row],[TOTAL]]</f>
        <v>0</v>
      </c>
      <c r="P15" s="11" t="s">
        <v>292</v>
      </c>
      <c r="Q15" s="11" t="s">
        <v>362</v>
      </c>
      <c r="Z15" s="1">
        <f>N1</f>
        <v>0</v>
      </c>
    </row>
    <row r="16" spans="1:26">
      <c r="A16" s="11">
        <v>11</v>
      </c>
      <c r="B16" s="6" t="s">
        <v>205</v>
      </c>
      <c r="C16" s="56">
        <v>1</v>
      </c>
      <c r="D16" s="18" t="s">
        <v>110</v>
      </c>
      <c r="E16" s="18" t="s">
        <v>109</v>
      </c>
      <c r="F16" s="18" t="s">
        <v>167</v>
      </c>
      <c r="G16" s="18" t="s">
        <v>88</v>
      </c>
      <c r="H16" s="13" t="s">
        <v>168</v>
      </c>
      <c r="I16" s="11" t="s">
        <v>169</v>
      </c>
      <c r="J16" s="149">
        <v>2.5</v>
      </c>
      <c r="K16" s="397">
        <f>Table14[[#This Row],[Unit Cost]]*Table14[[#This Row],[Quantity]]</f>
        <v>2.5</v>
      </c>
      <c r="L16" s="146">
        <v>0</v>
      </c>
      <c r="M16" s="146">
        <f>Table14[[#This Row],[Quantity]]*Z16-Table14[[#This Row],[STOCK]]</f>
        <v>0</v>
      </c>
      <c r="N16" s="146">
        <f>IF(Table14[[#This Row],[Interim Value]]&lt;0,0,Table14[[#This Row],[Interim Value]])</f>
        <v>0</v>
      </c>
      <c r="O16" s="410">
        <f>Table14[[#This Row],[Kitting Quantity]]*Table14[[#This Row],[TOTAL]]</f>
        <v>0</v>
      </c>
      <c r="P16" s="11" t="s">
        <v>363</v>
      </c>
      <c r="Q16" s="11" t="s">
        <v>362</v>
      </c>
      <c r="Z16" s="1">
        <f>N1</f>
        <v>0</v>
      </c>
    </row>
    <row r="17" spans="1:26">
      <c r="A17" s="11">
        <v>12</v>
      </c>
      <c r="B17" s="11" t="s">
        <v>206</v>
      </c>
      <c r="C17" s="56">
        <v>2</v>
      </c>
      <c r="D17" s="18" t="s">
        <v>207</v>
      </c>
      <c r="E17" s="18" t="s">
        <v>208</v>
      </c>
      <c r="F17" s="18" t="s">
        <v>209</v>
      </c>
      <c r="G17" s="18" t="s">
        <v>90</v>
      </c>
      <c r="H17" s="18" t="s">
        <v>172</v>
      </c>
      <c r="I17" s="18" t="s">
        <v>172</v>
      </c>
      <c r="J17" s="149">
        <v>7.5</v>
      </c>
      <c r="K17" s="397">
        <f>Table14[[#This Row],[Unit Cost]]*Table14[[#This Row],[Quantity]]</f>
        <v>15</v>
      </c>
      <c r="L17" s="146">
        <v>0</v>
      </c>
      <c r="M17" s="146">
        <f>Table14[[#This Row],[Quantity]]*Z17-Table14[[#This Row],[STOCK]]</f>
        <v>0</v>
      </c>
      <c r="N17" s="146">
        <f>IF(Table14[[#This Row],[Interim Value]]&lt;0,0,Table14[[#This Row],[Interim Value]])</f>
        <v>0</v>
      </c>
      <c r="O17" s="410">
        <f>Table14[[#This Row],[Kitting Quantity]]*Table14[[#This Row],[TOTAL]]</f>
        <v>0</v>
      </c>
      <c r="P17" s="11" t="s">
        <v>172</v>
      </c>
      <c r="Q17" s="11" t="s">
        <v>366</v>
      </c>
      <c r="Z17" s="1">
        <f>N1</f>
        <v>0</v>
      </c>
    </row>
    <row r="18" spans="1:26">
      <c r="A18" s="11">
        <v>13</v>
      </c>
      <c r="B18" s="11" t="s">
        <v>116</v>
      </c>
      <c r="C18" s="56">
        <v>2</v>
      </c>
      <c r="D18" s="18" t="s">
        <v>210</v>
      </c>
      <c r="E18" s="18" t="s">
        <v>113</v>
      </c>
      <c r="F18" s="18" t="s">
        <v>211</v>
      </c>
      <c r="G18" s="18" t="s">
        <v>88</v>
      </c>
      <c r="H18" s="18" t="s">
        <v>92</v>
      </c>
      <c r="I18" s="11" t="s">
        <v>92</v>
      </c>
      <c r="J18" s="149">
        <v>0.9</v>
      </c>
      <c r="K18" s="149">
        <f>Table14[[#This Row],[Unit Cost]]*Table14[[#This Row],[Quantity]]</f>
        <v>1.8</v>
      </c>
      <c r="L18" s="74">
        <v>24346</v>
      </c>
      <c r="M18" s="146">
        <f>Table14[[#This Row],[Quantity]]*Z18-Table14[[#This Row],[STOCK]]</f>
        <v>-24346</v>
      </c>
      <c r="N18" s="74">
        <f>IF(Table14[[#This Row],[Interim Value]]&lt;0,0,Table14[[#This Row],[Interim Value]])</f>
        <v>0</v>
      </c>
      <c r="O18" s="410">
        <f>Table14[[#This Row],[Kitting Quantity]]*Table14[[#This Row],[TOTAL]]</f>
        <v>0</v>
      </c>
      <c r="P18" s="160" t="s">
        <v>92</v>
      </c>
      <c r="Q18" s="100" t="s">
        <v>367</v>
      </c>
      <c r="Z18" s="1">
        <f>N1</f>
        <v>0</v>
      </c>
    </row>
    <row r="19" spans="1:26">
      <c r="A19" s="11">
        <v>14</v>
      </c>
      <c r="B19" s="11" t="s">
        <v>116</v>
      </c>
      <c r="C19" s="56">
        <v>2</v>
      </c>
      <c r="D19" s="18" t="s">
        <v>212</v>
      </c>
      <c r="E19" s="18" t="s">
        <v>113</v>
      </c>
      <c r="F19" s="18" t="s">
        <v>211</v>
      </c>
      <c r="G19" s="18"/>
      <c r="H19" s="18" t="s">
        <v>92</v>
      </c>
      <c r="I19" s="11" t="s">
        <v>92</v>
      </c>
      <c r="J19" s="149">
        <v>0.9</v>
      </c>
      <c r="K19" s="149">
        <f>Table14[[#This Row],[Unit Cost]]*Table14[[#This Row],[Quantity]]</f>
        <v>1.8</v>
      </c>
      <c r="L19" s="74">
        <v>0</v>
      </c>
      <c r="M19" s="146">
        <f>Table14[[#This Row],[Quantity]]*Z19-Table14[[#This Row],[STOCK]]</f>
        <v>0</v>
      </c>
      <c r="N19" s="74">
        <f>IF(Table14[[#This Row],[Interim Value]]&lt;0,0,Table14[[#This Row],[Interim Value]])</f>
        <v>0</v>
      </c>
      <c r="O19" s="410">
        <f>Table14[[#This Row],[Kitting Quantity]]*Table14[[#This Row],[TOTAL]]</f>
        <v>0</v>
      </c>
      <c r="P19" s="160" t="s">
        <v>92</v>
      </c>
      <c r="Q19" s="100" t="s">
        <v>367</v>
      </c>
      <c r="Z19" s="1">
        <f>N1</f>
        <v>0</v>
      </c>
    </row>
    <row r="20" spans="1:26">
      <c r="A20" s="11">
        <v>15</v>
      </c>
      <c r="B20" s="11" t="s">
        <v>120</v>
      </c>
      <c r="C20" s="56">
        <v>1</v>
      </c>
      <c r="D20" s="18" t="s">
        <v>39</v>
      </c>
      <c r="E20" s="18" t="s">
        <v>119</v>
      </c>
      <c r="F20" s="18" t="s">
        <v>213</v>
      </c>
      <c r="G20" s="18" t="s">
        <v>88</v>
      </c>
      <c r="H20" s="18" t="s">
        <v>174</v>
      </c>
      <c r="I20" s="11" t="s">
        <v>175</v>
      </c>
      <c r="J20" s="149">
        <v>3</v>
      </c>
      <c r="K20" s="149">
        <f>Table14[[#This Row],[Unit Cost]]*Table14[[#This Row],[Quantity]]</f>
        <v>3</v>
      </c>
      <c r="L20" s="74">
        <v>0</v>
      </c>
      <c r="M20" s="146">
        <f>Table14[[#This Row],[Quantity]]*Z20-Table14[[#This Row],[STOCK]]</f>
        <v>0</v>
      </c>
      <c r="N20" s="74">
        <f>IF(Table14[[#This Row],[Interim Value]]&lt;0,0,Table14[[#This Row],[Interim Value]])</f>
        <v>0</v>
      </c>
      <c r="O20" s="410">
        <f>Table14[[#This Row],[Kitting Quantity]]*Table14[[#This Row],[TOTAL]]</f>
        <v>0</v>
      </c>
      <c r="P20" s="11" t="s">
        <v>363</v>
      </c>
      <c r="Q20" s="11" t="s">
        <v>362</v>
      </c>
      <c r="Z20" s="1">
        <f>N1</f>
        <v>0</v>
      </c>
    </row>
    <row r="21" spans="1:26" s="1" customFormat="1">
      <c r="A21" s="11">
        <v>16</v>
      </c>
      <c r="B21" s="11" t="s">
        <v>42</v>
      </c>
      <c r="C21" s="56">
        <v>1</v>
      </c>
      <c r="D21" s="18" t="s">
        <v>43</v>
      </c>
      <c r="E21" s="18" t="s">
        <v>214</v>
      </c>
      <c r="F21" s="18" t="s">
        <v>215</v>
      </c>
      <c r="G21" s="18" t="s">
        <v>88</v>
      </c>
      <c r="H21" s="57" t="s">
        <v>178</v>
      </c>
      <c r="I21" s="11" t="s">
        <v>179</v>
      </c>
      <c r="J21" s="149">
        <v>11.9</v>
      </c>
      <c r="K21" s="149">
        <f>Table14[[#This Row],[Unit Cost]]*Table14[[#This Row],[Quantity]]</f>
        <v>11.9</v>
      </c>
      <c r="L21" s="74">
        <v>0</v>
      </c>
      <c r="M21" s="146">
        <f>Table14[[#This Row],[Quantity]]*Z21-Table14[[#This Row],[STOCK]]</f>
        <v>0</v>
      </c>
      <c r="N21" s="74">
        <f>IF(Table14[[#This Row],[Interim Value]]&lt;0,0,Table14[[#This Row],[Interim Value]])</f>
        <v>0</v>
      </c>
      <c r="O21" s="410">
        <f>Table14[[#This Row],[Kitting Quantity]]*Table14[[#This Row],[TOTAL]]</f>
        <v>0</v>
      </c>
      <c r="P21" s="11" t="s">
        <v>363</v>
      </c>
      <c r="Q21" s="11" t="s">
        <v>362</v>
      </c>
      <c r="Z21" s="1">
        <f>N1</f>
        <v>0</v>
      </c>
    </row>
    <row r="22" spans="1:26">
      <c r="A22" s="11">
        <v>17</v>
      </c>
      <c r="B22" s="11" t="s">
        <v>216</v>
      </c>
      <c r="C22" s="56">
        <v>1</v>
      </c>
      <c r="D22" s="18" t="s">
        <v>47</v>
      </c>
      <c r="E22" s="18" t="s">
        <v>48</v>
      </c>
      <c r="F22" s="18" t="s">
        <v>53</v>
      </c>
      <c r="G22" s="18" t="s">
        <v>122</v>
      </c>
      <c r="H22" s="18" t="s">
        <v>180</v>
      </c>
      <c r="I22" s="11" t="s">
        <v>181</v>
      </c>
      <c r="J22" s="149">
        <v>0.05</v>
      </c>
      <c r="K22" s="149">
        <f>Table14[[#This Row],[Unit Cost]]*Table14[[#This Row],[Quantity]]</f>
        <v>0.05</v>
      </c>
      <c r="L22" s="74">
        <v>0</v>
      </c>
      <c r="M22" s="146">
        <f>Table14[[#This Row],[Quantity]]*Z22-Table14[[#This Row],[STOCK]]</f>
        <v>0</v>
      </c>
      <c r="N22" s="74">
        <f>IF(Table14[[#This Row],[Interim Value]]&lt;0,0,Table14[[#This Row],[Interim Value]])</f>
        <v>0</v>
      </c>
      <c r="O22" s="410">
        <f>Table14[[#This Row],[Kitting Quantity]]*Table14[[#This Row],[TOTAL]]</f>
        <v>0</v>
      </c>
      <c r="P22" s="11" t="s">
        <v>292</v>
      </c>
      <c r="Q22" s="11" t="s">
        <v>362</v>
      </c>
      <c r="Z22" s="1">
        <f>N1</f>
        <v>0</v>
      </c>
    </row>
    <row r="23" spans="1:26">
      <c r="A23" s="11">
        <v>18</v>
      </c>
      <c r="B23" s="11" t="s">
        <v>217</v>
      </c>
      <c r="C23" s="56">
        <v>1</v>
      </c>
      <c r="D23" s="18" t="s">
        <v>51</v>
      </c>
      <c r="E23" s="18" t="s">
        <v>218</v>
      </c>
      <c r="F23" s="18" t="s">
        <v>53</v>
      </c>
      <c r="G23" s="18" t="s">
        <v>122</v>
      </c>
      <c r="H23" s="18" t="s">
        <v>180</v>
      </c>
      <c r="I23" s="11" t="s">
        <v>181</v>
      </c>
      <c r="J23" s="149">
        <v>0.5</v>
      </c>
      <c r="K23" s="149">
        <f>Table14[[#This Row],[Unit Cost]]*Table14[[#This Row],[Quantity]]</f>
        <v>0.5</v>
      </c>
      <c r="L23" s="74">
        <v>0</v>
      </c>
      <c r="M23" s="146">
        <f>Table14[[#This Row],[Quantity]]*Z23-Table14[[#This Row],[STOCK]]</f>
        <v>0</v>
      </c>
      <c r="N23" s="74">
        <f>IF(Table14[[#This Row],[Interim Value]]&lt;0,0,Table14[[#This Row],[Interim Value]])</f>
        <v>0</v>
      </c>
      <c r="O23" s="410">
        <f>Table14[[#This Row],[Kitting Quantity]]*Table14[[#This Row],[TOTAL]]</f>
        <v>0</v>
      </c>
      <c r="P23" s="11" t="s">
        <v>292</v>
      </c>
      <c r="Q23" s="11" t="s">
        <v>362</v>
      </c>
      <c r="Z23" s="1">
        <f>N1</f>
        <v>0</v>
      </c>
    </row>
    <row r="24" spans="1:26">
      <c r="A24" s="11">
        <v>19</v>
      </c>
      <c r="B24" s="11" t="s">
        <v>217</v>
      </c>
      <c r="C24" s="56">
        <v>1</v>
      </c>
      <c r="D24" s="18" t="s">
        <v>79</v>
      </c>
      <c r="E24" s="18" t="s">
        <v>218</v>
      </c>
      <c r="F24" s="18" t="s">
        <v>53</v>
      </c>
      <c r="G24" s="18" t="s">
        <v>122</v>
      </c>
      <c r="H24" s="18" t="s">
        <v>180</v>
      </c>
      <c r="I24" s="11" t="s">
        <v>181</v>
      </c>
      <c r="J24" s="149">
        <v>0.5</v>
      </c>
      <c r="K24" s="149">
        <f>Table14[[#This Row],[Unit Cost]]*Table14[[#This Row],[Quantity]]</f>
        <v>0.5</v>
      </c>
      <c r="L24" s="74">
        <v>0</v>
      </c>
      <c r="M24" s="146">
        <f>Table14[[#This Row],[Quantity]]*Z24-Table14[[#This Row],[STOCK]]</f>
        <v>0</v>
      </c>
      <c r="N24" s="74">
        <f>IF(Table14[[#This Row],[Interim Value]]&lt;0,0,Table14[[#This Row],[Interim Value]])</f>
        <v>0</v>
      </c>
      <c r="O24" s="410">
        <f>Table14[[#This Row],[Kitting Quantity]]*Table14[[#This Row],[TOTAL]]</f>
        <v>0</v>
      </c>
      <c r="P24" s="11" t="s">
        <v>292</v>
      </c>
      <c r="Q24" s="11" t="s">
        <v>362</v>
      </c>
      <c r="Z24" s="1">
        <f>N1</f>
        <v>0</v>
      </c>
    </row>
    <row r="25" spans="1:26">
      <c r="A25" s="11">
        <v>20</v>
      </c>
      <c r="B25" s="11" t="s">
        <v>219</v>
      </c>
      <c r="C25" s="56">
        <v>1</v>
      </c>
      <c r="D25" s="18" t="s">
        <v>55</v>
      </c>
      <c r="E25" s="18" t="s">
        <v>56</v>
      </c>
      <c r="F25" s="18" t="s">
        <v>53</v>
      </c>
      <c r="G25" s="18" t="s">
        <v>122</v>
      </c>
      <c r="H25" s="18" t="s">
        <v>180</v>
      </c>
      <c r="I25" s="11" t="s">
        <v>181</v>
      </c>
      <c r="J25" s="149">
        <v>0.05</v>
      </c>
      <c r="K25" s="149">
        <f>Table14[[#This Row],[Unit Cost]]*Table14[[#This Row],[Quantity]]</f>
        <v>0.05</v>
      </c>
      <c r="L25" s="74">
        <v>0</v>
      </c>
      <c r="M25" s="146">
        <f>Table14[[#This Row],[Quantity]]*Z25-Table14[[#This Row],[STOCK]]</f>
        <v>0</v>
      </c>
      <c r="N25" s="74">
        <f>IF(Table14[[#This Row],[Interim Value]]&lt;0,0,Table14[[#This Row],[Interim Value]])</f>
        <v>0</v>
      </c>
      <c r="O25" s="410">
        <f>Table14[[#This Row],[Kitting Quantity]]*Table14[[#This Row],[TOTAL]]</f>
        <v>0</v>
      </c>
      <c r="P25" s="11" t="s">
        <v>292</v>
      </c>
      <c r="Q25" s="11" t="s">
        <v>362</v>
      </c>
      <c r="Z25" s="1">
        <f>N1</f>
        <v>0</v>
      </c>
    </row>
    <row r="26" spans="1:26">
      <c r="A26" s="11">
        <v>21</v>
      </c>
      <c r="B26" s="11"/>
      <c r="C26" s="16">
        <v>1</v>
      </c>
      <c r="D26" s="17" t="s">
        <v>182</v>
      </c>
      <c r="E26" s="17" t="s">
        <v>98</v>
      </c>
      <c r="F26" s="17" t="s">
        <v>57</v>
      </c>
      <c r="G26" s="17" t="s">
        <v>88</v>
      </c>
      <c r="H26" s="18" t="s">
        <v>180</v>
      </c>
      <c r="I26" s="11" t="s">
        <v>181</v>
      </c>
      <c r="J26" s="149">
        <v>0</v>
      </c>
      <c r="K26" s="149">
        <f>Table14[[#This Row],[Unit Cost]]*Table14[[#This Row],[Quantity]]</f>
        <v>0</v>
      </c>
      <c r="L26" s="74">
        <v>0</v>
      </c>
      <c r="M26" s="146">
        <f>Table14[[#This Row],[Quantity]]*Z26-Table14[[#This Row],[STOCK]]</f>
        <v>0</v>
      </c>
      <c r="N26" s="74">
        <f>IF(Table14[[#This Row],[Interim Value]]&lt;0,0,Table14[[#This Row],[Interim Value]])</f>
        <v>0</v>
      </c>
      <c r="O26" s="410">
        <f>Table14[[#This Row],[Kitting Quantity]]*Table14[[#This Row],[TOTAL]]</f>
        <v>0</v>
      </c>
      <c r="P26" s="11" t="s">
        <v>292</v>
      </c>
      <c r="Q26" s="11" t="s">
        <v>362</v>
      </c>
      <c r="Z26" s="1">
        <f>N1</f>
        <v>0</v>
      </c>
    </row>
    <row r="27" spans="1:26">
      <c r="A27" s="11">
        <v>22</v>
      </c>
      <c r="B27" s="11" t="s">
        <v>220</v>
      </c>
      <c r="C27" s="56">
        <v>1</v>
      </c>
      <c r="D27" s="18" t="s">
        <v>59</v>
      </c>
      <c r="E27" s="18" t="s">
        <v>60</v>
      </c>
      <c r="F27" s="18" t="s">
        <v>53</v>
      </c>
      <c r="G27" s="18" t="s">
        <v>122</v>
      </c>
      <c r="H27" s="18" t="s">
        <v>180</v>
      </c>
      <c r="I27" s="11" t="s">
        <v>181</v>
      </c>
      <c r="J27" s="149">
        <v>0.05</v>
      </c>
      <c r="K27" s="149">
        <f>Table14[[#This Row],[Unit Cost]]*Table14[[#This Row],[Quantity]]</f>
        <v>0.05</v>
      </c>
      <c r="L27" s="74">
        <v>0</v>
      </c>
      <c r="M27" s="146">
        <f>Table14[[#This Row],[Quantity]]*Z27-Table14[[#This Row],[STOCK]]</f>
        <v>0</v>
      </c>
      <c r="N27" s="74">
        <f>IF(Table14[[#This Row],[Interim Value]]&lt;0,0,Table14[[#This Row],[Interim Value]])</f>
        <v>0</v>
      </c>
      <c r="O27" s="410">
        <f>Table14[[#This Row],[Kitting Quantity]]*Table14[[#This Row],[TOTAL]]</f>
        <v>0</v>
      </c>
      <c r="P27" s="11" t="s">
        <v>292</v>
      </c>
      <c r="Q27" s="11" t="s">
        <v>362</v>
      </c>
      <c r="Z27" s="1">
        <f>N1</f>
        <v>0</v>
      </c>
    </row>
    <row r="28" spans="1:26">
      <c r="A28" s="11">
        <v>23</v>
      </c>
      <c r="B28" s="11" t="s">
        <v>221</v>
      </c>
      <c r="C28" s="56">
        <v>1</v>
      </c>
      <c r="D28" s="18" t="s">
        <v>62</v>
      </c>
      <c r="E28" s="18" t="s">
        <v>222</v>
      </c>
      <c r="F28" s="18" t="s">
        <v>53</v>
      </c>
      <c r="G28" s="18" t="s">
        <v>122</v>
      </c>
      <c r="H28" s="18" t="s">
        <v>180</v>
      </c>
      <c r="I28" s="11" t="s">
        <v>181</v>
      </c>
      <c r="J28" s="149">
        <v>0.05</v>
      </c>
      <c r="K28" s="149">
        <f>Table14[[#This Row],[Unit Cost]]*Table14[[#This Row],[Quantity]]</f>
        <v>0.05</v>
      </c>
      <c r="L28" s="74">
        <v>0</v>
      </c>
      <c r="M28" s="146">
        <f>Table14[[#This Row],[Quantity]]*Z28-Table14[[#This Row],[STOCK]]</f>
        <v>0</v>
      </c>
      <c r="N28" s="74">
        <f>IF(Table14[[#This Row],[Interim Value]]&lt;0,0,Table14[[#This Row],[Interim Value]])</f>
        <v>0</v>
      </c>
      <c r="O28" s="410">
        <f>Table14[[#This Row],[Kitting Quantity]]*Table14[[#This Row],[TOTAL]]</f>
        <v>0</v>
      </c>
      <c r="P28" s="11" t="s">
        <v>292</v>
      </c>
      <c r="Q28" s="11" t="s">
        <v>362</v>
      </c>
      <c r="Z28" s="1">
        <f>N1</f>
        <v>0</v>
      </c>
    </row>
    <row r="29" spans="1:26">
      <c r="A29" s="11">
        <v>24</v>
      </c>
      <c r="B29" s="11" t="s">
        <v>223</v>
      </c>
      <c r="C29" s="56">
        <v>1</v>
      </c>
      <c r="D29" s="18" t="s">
        <v>65</v>
      </c>
      <c r="E29" s="18" t="s">
        <v>66</v>
      </c>
      <c r="F29" s="18" t="s">
        <v>53</v>
      </c>
      <c r="G29" s="18" t="s">
        <v>122</v>
      </c>
      <c r="H29" s="18" t="s">
        <v>180</v>
      </c>
      <c r="I29" s="11" t="s">
        <v>181</v>
      </c>
      <c r="J29" s="149">
        <v>0.05</v>
      </c>
      <c r="K29" s="149">
        <f>Table14[[#This Row],[Unit Cost]]*Table14[[#This Row],[Quantity]]</f>
        <v>0.05</v>
      </c>
      <c r="L29" s="74">
        <v>0</v>
      </c>
      <c r="M29" s="146">
        <f>Table14[[#This Row],[Quantity]]*Z29-Table14[[#This Row],[STOCK]]</f>
        <v>0</v>
      </c>
      <c r="N29" s="74">
        <f>IF(Table14[[#This Row],[Interim Value]]&lt;0,0,Table14[[#This Row],[Interim Value]])</f>
        <v>0</v>
      </c>
      <c r="O29" s="410">
        <f>Table14[[#This Row],[Kitting Quantity]]*Table14[[#This Row],[TOTAL]]</f>
        <v>0</v>
      </c>
      <c r="P29" s="11" t="s">
        <v>292</v>
      </c>
      <c r="Q29" s="11" t="s">
        <v>362</v>
      </c>
      <c r="Z29" s="1">
        <f>N1</f>
        <v>0</v>
      </c>
    </row>
    <row r="30" spans="1:26">
      <c r="A30" s="11">
        <v>25</v>
      </c>
      <c r="B30" s="11" t="s">
        <v>224</v>
      </c>
      <c r="C30" s="56">
        <v>1</v>
      </c>
      <c r="D30" s="18" t="s">
        <v>68</v>
      </c>
      <c r="E30" s="18" t="s">
        <v>127</v>
      </c>
      <c r="F30" s="18" t="s">
        <v>53</v>
      </c>
      <c r="G30" s="18" t="s">
        <v>90</v>
      </c>
      <c r="H30" s="18" t="s">
        <v>180</v>
      </c>
      <c r="I30" s="11" t="s">
        <v>181</v>
      </c>
      <c r="J30" s="149">
        <v>0.05</v>
      </c>
      <c r="K30" s="149">
        <f>Table14[[#This Row],[Unit Cost]]*Table14[[#This Row],[Quantity]]</f>
        <v>0.05</v>
      </c>
      <c r="L30" s="74">
        <v>0</v>
      </c>
      <c r="M30" s="146">
        <f>Table14[[#This Row],[Quantity]]*Z30-Table14[[#This Row],[STOCK]]</f>
        <v>0</v>
      </c>
      <c r="N30" s="74">
        <f>IF(Table14[[#This Row],[Interim Value]]&lt;0,0,Table14[[#This Row],[Interim Value]])</f>
        <v>0</v>
      </c>
      <c r="O30" s="410">
        <f>Table14[[#This Row],[Kitting Quantity]]*Table14[[#This Row],[TOTAL]]</f>
        <v>0</v>
      </c>
      <c r="P30" s="11" t="s">
        <v>292</v>
      </c>
      <c r="Q30" s="11" t="s">
        <v>362</v>
      </c>
      <c r="Z30" s="1">
        <f>N1</f>
        <v>0</v>
      </c>
    </row>
    <row r="31" spans="1:26">
      <c r="A31" s="11">
        <v>26</v>
      </c>
      <c r="B31" s="11" t="s">
        <v>69</v>
      </c>
      <c r="C31" s="56">
        <v>1</v>
      </c>
      <c r="D31" s="18" t="s">
        <v>70</v>
      </c>
      <c r="E31" s="18" t="s">
        <v>71</v>
      </c>
      <c r="F31" s="18" t="s">
        <v>57</v>
      </c>
      <c r="G31" s="18" t="s">
        <v>98</v>
      </c>
      <c r="H31" s="18" t="s">
        <v>180</v>
      </c>
      <c r="I31" s="11" t="s">
        <v>181</v>
      </c>
      <c r="J31" s="149">
        <v>0.05</v>
      </c>
      <c r="K31" s="149">
        <f>Table14[[#This Row],[Unit Cost]]*Table14[[#This Row],[Quantity]]</f>
        <v>0.05</v>
      </c>
      <c r="L31" s="74">
        <v>0</v>
      </c>
      <c r="M31" s="146">
        <f>Table14[[#This Row],[Quantity]]*Z31-Table14[[#This Row],[STOCK]]</f>
        <v>0</v>
      </c>
      <c r="N31" s="74">
        <f>IF(Table14[[#This Row],[Interim Value]]&lt;0,0,Table14[[#This Row],[Interim Value]])</f>
        <v>0</v>
      </c>
      <c r="O31" s="410">
        <f>Table14[[#This Row],[Kitting Quantity]]*Table14[[#This Row],[TOTAL]]</f>
        <v>0</v>
      </c>
      <c r="P31" s="11" t="s">
        <v>292</v>
      </c>
      <c r="Q31" s="11" t="s">
        <v>362</v>
      </c>
      <c r="Z31" s="1">
        <f>N1</f>
        <v>0</v>
      </c>
    </row>
    <row r="32" spans="1:26">
      <c r="A32" s="11">
        <v>27</v>
      </c>
      <c r="B32" s="11" t="s">
        <v>225</v>
      </c>
      <c r="C32" s="56">
        <v>1</v>
      </c>
      <c r="D32" s="18" t="s">
        <v>73</v>
      </c>
      <c r="E32" s="18" t="s">
        <v>74</v>
      </c>
      <c r="F32" s="18" t="s">
        <v>53</v>
      </c>
      <c r="G32" s="18" t="s">
        <v>90</v>
      </c>
      <c r="H32" s="18" t="s">
        <v>180</v>
      </c>
      <c r="I32" s="11" t="s">
        <v>181</v>
      </c>
      <c r="J32" s="149">
        <v>0.05</v>
      </c>
      <c r="K32" s="149">
        <f>Table14[[#This Row],[Unit Cost]]*Table14[[#This Row],[Quantity]]</f>
        <v>0.05</v>
      </c>
      <c r="L32" s="74">
        <v>0</v>
      </c>
      <c r="M32" s="146">
        <f>Table14[[#This Row],[Quantity]]*Z32-Table14[[#This Row],[STOCK]]</f>
        <v>0</v>
      </c>
      <c r="N32" s="74">
        <f>IF(Table14[[#This Row],[Interim Value]]&lt;0,0,Table14[[#This Row],[Interim Value]])</f>
        <v>0</v>
      </c>
      <c r="O32" s="410">
        <f>Table14[[#This Row],[Kitting Quantity]]*Table14[[#This Row],[TOTAL]]</f>
        <v>0</v>
      </c>
      <c r="P32" s="11" t="s">
        <v>292</v>
      </c>
      <c r="Q32" s="11" t="s">
        <v>362</v>
      </c>
      <c r="Z32" s="1">
        <f>N1</f>
        <v>0</v>
      </c>
    </row>
    <row r="33" spans="1:26">
      <c r="A33" s="11">
        <v>28</v>
      </c>
      <c r="B33" s="11" t="s">
        <v>75</v>
      </c>
      <c r="C33" s="56">
        <v>1</v>
      </c>
      <c r="D33" s="18" t="s">
        <v>176</v>
      </c>
      <c r="E33" s="18" t="s">
        <v>76</v>
      </c>
      <c r="F33" s="18" t="s">
        <v>77</v>
      </c>
      <c r="G33" s="18" t="s">
        <v>90</v>
      </c>
      <c r="H33" s="18" t="s">
        <v>180</v>
      </c>
      <c r="I33" s="11" t="s">
        <v>181</v>
      </c>
      <c r="J33" s="149">
        <v>1.6</v>
      </c>
      <c r="K33" s="149">
        <f>Table14[[#This Row],[Unit Cost]]*Table14[[#This Row],[Quantity]]</f>
        <v>1.6</v>
      </c>
      <c r="L33" s="74">
        <v>0</v>
      </c>
      <c r="M33" s="146">
        <f>Table14[[#This Row],[Quantity]]*Z33-Table14[[#This Row],[STOCK]]</f>
        <v>0</v>
      </c>
      <c r="N33" s="74">
        <f>IF(Table14[[#This Row],[Interim Value]]&lt;0,0,Table14[[#This Row],[Interim Value]])</f>
        <v>0</v>
      </c>
      <c r="O33" s="410">
        <f>Table14[[#This Row],[Kitting Quantity]]*Table14[[#This Row],[TOTAL]]</f>
        <v>0</v>
      </c>
      <c r="P33" s="11" t="s">
        <v>292</v>
      </c>
      <c r="Q33" s="11" t="s">
        <v>362</v>
      </c>
      <c r="Z33" s="1">
        <f>N1</f>
        <v>0</v>
      </c>
    </row>
    <row r="34" spans="1:26">
      <c r="A34" s="11">
        <v>29</v>
      </c>
      <c r="B34" s="11" t="s">
        <v>226</v>
      </c>
      <c r="C34" s="56">
        <v>1</v>
      </c>
      <c r="D34" s="18" t="s">
        <v>131</v>
      </c>
      <c r="E34" s="18" t="s">
        <v>52</v>
      </c>
      <c r="F34" s="18" t="s">
        <v>227</v>
      </c>
      <c r="G34" s="18" t="s">
        <v>90</v>
      </c>
      <c r="H34" s="18" t="s">
        <v>228</v>
      </c>
      <c r="I34" s="11"/>
      <c r="J34" s="149">
        <v>1</v>
      </c>
      <c r="K34" s="149">
        <f>Table14[[#This Row],[Unit Cost]]*Table14[[#This Row],[Quantity]]</f>
        <v>1</v>
      </c>
      <c r="L34" s="74">
        <v>0</v>
      </c>
      <c r="M34" s="146">
        <f>Table14[[#This Row],[Quantity]]*Z34-Table14[[#This Row],[STOCK]]</f>
        <v>0</v>
      </c>
      <c r="N34" s="74">
        <f>IF(Table14[[#This Row],[Interim Value]]&lt;0,0,Table14[[#This Row],[Interim Value]])</f>
        <v>0</v>
      </c>
      <c r="O34" s="410">
        <f>Table14[[#This Row],[Kitting Quantity]]*Table14[[#This Row],[TOTAL]]</f>
        <v>0</v>
      </c>
      <c r="P34" s="160" t="s">
        <v>92</v>
      </c>
      <c r="Q34" s="100" t="s">
        <v>367</v>
      </c>
      <c r="Z34" s="1">
        <f>N1</f>
        <v>0</v>
      </c>
    </row>
    <row r="35" spans="1:26">
      <c r="A35" s="11">
        <v>30</v>
      </c>
      <c r="B35" s="11" t="s">
        <v>229</v>
      </c>
      <c r="C35" s="16">
        <v>1</v>
      </c>
      <c r="D35" s="17" t="s">
        <v>135</v>
      </c>
      <c r="E35" s="17" t="s">
        <v>134</v>
      </c>
      <c r="F35" s="17" t="s">
        <v>41</v>
      </c>
      <c r="G35" s="17" t="s">
        <v>88</v>
      </c>
      <c r="H35" s="17"/>
      <c r="I35" s="11"/>
      <c r="J35" s="149">
        <v>2</v>
      </c>
      <c r="K35" s="149">
        <f>Table14[[#This Row],[Unit Cost]]*Table14[[#This Row],[Quantity]]</f>
        <v>2</v>
      </c>
      <c r="L35" s="74">
        <v>0</v>
      </c>
      <c r="M35" s="146">
        <f>Table14[[#This Row],[Quantity]]*Z35-Table14[[#This Row],[STOCK]]</f>
        <v>0</v>
      </c>
      <c r="N35" s="74">
        <f>IF(Table14[[#This Row],[Interim Value]]&lt;0,0,Table14[[#This Row],[Interim Value]])</f>
        <v>0</v>
      </c>
      <c r="O35" s="410">
        <f>Table14[[#This Row],[Kitting Quantity]]*Table14[[#This Row],[TOTAL]]</f>
        <v>0</v>
      </c>
      <c r="P35" s="11"/>
      <c r="Q35" s="245" t="s">
        <v>367</v>
      </c>
      <c r="Z35" s="1">
        <f>N1</f>
        <v>0</v>
      </c>
    </row>
    <row r="36" spans="1:26">
      <c r="A36" s="11">
        <v>31</v>
      </c>
      <c r="B36" s="11" t="s">
        <v>83</v>
      </c>
      <c r="C36" s="12">
        <v>1</v>
      </c>
      <c r="D36" s="13" t="s">
        <v>84</v>
      </c>
      <c r="E36" s="13" t="s">
        <v>85</v>
      </c>
      <c r="F36" s="13" t="s">
        <v>136</v>
      </c>
      <c r="G36" s="13" t="s">
        <v>88</v>
      </c>
      <c r="H36" s="13" t="s">
        <v>230</v>
      </c>
      <c r="I36" s="13" t="s">
        <v>230</v>
      </c>
      <c r="J36" s="149">
        <v>15</v>
      </c>
      <c r="K36" s="149">
        <f>Table14[[#This Row],[Unit Cost]]*Table14[[#This Row],[Quantity]]</f>
        <v>15</v>
      </c>
      <c r="L36" s="74">
        <v>0</v>
      </c>
      <c r="M36" s="146">
        <f>Table14[[#This Row],[Quantity]]*Z36-Table14[[#This Row],[STOCK]]</f>
        <v>0</v>
      </c>
      <c r="N36" s="74">
        <f>IF(Table14[[#This Row],[Interim Value]]&lt;0,0,Table14[[#This Row],[Interim Value]])</f>
        <v>0</v>
      </c>
      <c r="O36" s="410">
        <f>Table14[[#This Row],[Kitting Quantity]]*Table14[[#This Row],[TOTAL]]</f>
        <v>0</v>
      </c>
      <c r="P36" s="11" t="s">
        <v>185</v>
      </c>
      <c r="Q36" s="245" t="s">
        <v>367</v>
      </c>
      <c r="Z36" s="1">
        <f>N1</f>
        <v>0</v>
      </c>
    </row>
    <row r="37" spans="1:26">
      <c r="A37" s="11">
        <v>32</v>
      </c>
      <c r="B37" s="11" t="s">
        <v>231</v>
      </c>
      <c r="C37" s="11">
        <v>1</v>
      </c>
      <c r="D37" s="11" t="s">
        <v>232</v>
      </c>
      <c r="E37" s="11" t="s">
        <v>82</v>
      </c>
      <c r="F37" s="38" t="s">
        <v>233</v>
      </c>
      <c r="G37" s="11"/>
      <c r="H37" s="11" t="s">
        <v>234</v>
      </c>
      <c r="I37" s="11" t="s">
        <v>234</v>
      </c>
      <c r="J37" s="149">
        <v>24</v>
      </c>
      <c r="K37" s="149">
        <f>Table14[[#This Row],[Unit Cost]]*Table14[[#This Row],[Quantity]]</f>
        <v>24</v>
      </c>
      <c r="L37" s="74">
        <v>0</v>
      </c>
      <c r="M37" s="146">
        <f>Table14[[#This Row],[Quantity]]*Z37-Table14[[#This Row],[STOCK]]</f>
        <v>0</v>
      </c>
      <c r="N37" s="74">
        <f>IF(Table14[[#This Row],[Interim Value]]&lt;0,0,Table14[[#This Row],[Interim Value]])</f>
        <v>0</v>
      </c>
      <c r="O37" s="410">
        <f>Table14[[#This Row],[Kitting Quantity]]*Table14[[#This Row],[TOTAL]]</f>
        <v>0</v>
      </c>
      <c r="P37" s="129" t="s">
        <v>234</v>
      </c>
      <c r="Q37" s="129" t="s">
        <v>368</v>
      </c>
      <c r="Z37" s="1">
        <f>N1</f>
        <v>0</v>
      </c>
    </row>
    <row r="38" spans="1:26">
      <c r="A38" s="43">
        <v>33</v>
      </c>
      <c r="B38" s="43"/>
      <c r="C38" s="44">
        <v>1</v>
      </c>
      <c r="D38" s="45"/>
      <c r="E38" s="46"/>
      <c r="F38" s="43" t="s">
        <v>196</v>
      </c>
      <c r="G38" s="43"/>
      <c r="H38" s="43" t="s">
        <v>235</v>
      </c>
      <c r="I38" s="43"/>
      <c r="J38" s="197">
        <v>13</v>
      </c>
      <c r="K38" s="197">
        <f>Table14[[#This Row],[Unit Cost]]*Table14[[#This Row],[Quantity]]</f>
        <v>13</v>
      </c>
      <c r="L38" s="74">
        <v>0</v>
      </c>
      <c r="M38" s="146">
        <f>Table14[[#This Row],[Quantity]]*Z38-Table14[[#This Row],[STOCK]]</f>
        <v>0</v>
      </c>
      <c r="N38" s="335">
        <f>IF(Table14[[#This Row],[Interim Value]]&lt;0,0,Table14[[#This Row],[Interim Value]])</f>
        <v>0</v>
      </c>
      <c r="O38" s="411">
        <f>Table14[[#This Row],[Kitting Quantity]]*Table14[[#This Row],[TOTAL]]</f>
        <v>0</v>
      </c>
      <c r="P38" s="11" t="s">
        <v>235</v>
      </c>
      <c r="Q38" s="129" t="s">
        <v>368</v>
      </c>
      <c r="Z38" s="1">
        <f>N1</f>
        <v>0</v>
      </c>
    </row>
    <row r="39" spans="1:26">
      <c r="A39" s="26">
        <v>34</v>
      </c>
      <c r="B39" s="72" t="s">
        <v>349</v>
      </c>
      <c r="C39" s="93">
        <v>1</v>
      </c>
      <c r="D39" s="94"/>
      <c r="E39" s="95"/>
      <c r="F39" s="92" t="s">
        <v>348</v>
      </c>
      <c r="G39" s="26"/>
      <c r="H39" s="26"/>
      <c r="I39" s="26"/>
      <c r="J39" s="197">
        <v>0.3</v>
      </c>
      <c r="K39" s="197">
        <f>Table14[[#This Row],[Unit Cost]]*Table14[[#This Row],[Quantity]]</f>
        <v>0.3</v>
      </c>
      <c r="L39" s="74">
        <v>0</v>
      </c>
      <c r="M39" s="146">
        <f>Table14[[#This Row],[Quantity]]*Z39-Table14[[#This Row],[STOCK]]</f>
        <v>0</v>
      </c>
      <c r="N39" s="335">
        <f>IF(Table14[[#This Row],[Interim Value]]&lt;0,0,Table14[[#This Row],[Interim Value]])</f>
        <v>0</v>
      </c>
      <c r="O39" s="412">
        <f>Table14[[#This Row],[Kitting Quantity]]*Table14[[#This Row],[TOTAL]]</f>
        <v>0</v>
      </c>
      <c r="P39" s="11"/>
      <c r="Q39" s="245" t="s">
        <v>367</v>
      </c>
      <c r="Z39" s="1">
        <f>N1</f>
        <v>0</v>
      </c>
    </row>
    <row r="40" spans="1:26">
      <c r="A40" s="203"/>
      <c r="B40" s="203"/>
      <c r="C40" s="204"/>
      <c r="D40" s="205"/>
      <c r="E40" s="218"/>
      <c r="F40" s="219" t="s">
        <v>471</v>
      </c>
      <c r="G40" s="220"/>
      <c r="H40" s="220"/>
      <c r="I40" s="220"/>
      <c r="J40" s="221">
        <f>SUM(J6:J39)</f>
        <v>101.79999999999997</v>
      </c>
      <c r="K40" s="221">
        <v>0</v>
      </c>
      <c r="L40" s="201"/>
      <c r="M40" s="146"/>
      <c r="N40" s="201"/>
      <c r="O40" s="413">
        <f>Table14[[#This Row],[Kitting Quantity]]*Table14[[#This Row],[TOTAL]]</f>
        <v>0</v>
      </c>
      <c r="P40" s="206"/>
      <c r="Q40" s="206"/>
      <c r="Z40" s="1">
        <f>N1</f>
        <v>0</v>
      </c>
    </row>
    <row r="41" spans="1:26">
      <c r="A41" s="352" t="s">
        <v>189</v>
      </c>
      <c r="B41" s="352"/>
      <c r="C41" s="352"/>
      <c r="D41" s="352"/>
      <c r="E41" s="352"/>
      <c r="F41" s="352"/>
      <c r="G41" s="352"/>
      <c r="H41" s="352"/>
      <c r="I41" s="352"/>
      <c r="J41" s="352"/>
      <c r="K41" s="398">
        <f>SUM(K6:K39)</f>
        <v>116.79999999999997</v>
      </c>
      <c r="L41" s="147"/>
      <c r="M41" s="147"/>
      <c r="N41" s="147"/>
      <c r="O41" s="414">
        <f>SUM(O6:O39)</f>
        <v>0</v>
      </c>
    </row>
    <row r="43" spans="1:26" ht="15.75" thickBot="1"/>
    <row r="44" spans="1:26">
      <c r="B44" s="249" t="s">
        <v>509</v>
      </c>
      <c r="C44" s="255">
        <f>K39+K36+K35+K34+K19+K18</f>
        <v>21.900000000000002</v>
      </c>
      <c r="E44" s="249" t="s">
        <v>509</v>
      </c>
      <c r="F44" s="255">
        <f>O39+O36+O35+O34+O19+O18</f>
        <v>0</v>
      </c>
    </row>
    <row r="45" spans="1:26">
      <c r="B45" s="250" t="s">
        <v>492</v>
      </c>
      <c r="C45" s="251">
        <v>0</v>
      </c>
      <c r="E45" s="250" t="s">
        <v>492</v>
      </c>
      <c r="F45" s="251">
        <v>0</v>
      </c>
    </row>
    <row r="46" spans="1:26">
      <c r="B46" s="250" t="s">
        <v>493</v>
      </c>
      <c r="C46" s="251">
        <v>0</v>
      </c>
      <c r="E46" s="250" t="s">
        <v>493</v>
      </c>
      <c r="F46" s="251">
        <v>0</v>
      </c>
    </row>
    <row r="47" spans="1:26">
      <c r="B47" s="250" t="s">
        <v>490</v>
      </c>
      <c r="C47" s="253">
        <v>0</v>
      </c>
      <c r="E47" s="250" t="s">
        <v>490</v>
      </c>
      <c r="F47" s="253">
        <v>0</v>
      </c>
    </row>
    <row r="48" spans="1:26">
      <c r="B48" s="250" t="s">
        <v>494</v>
      </c>
      <c r="C48" s="253">
        <f>K38+K37+K33+K32+K31+K30+K29+K28+K27+K26+K25+K24+K23+K22+K21+K20+K16+K15+K14+K13+K12+K11+K10+K9+K8+K7+K6</f>
        <v>79.899999999999963</v>
      </c>
      <c r="E48" s="250" t="s">
        <v>494</v>
      </c>
      <c r="F48" s="253">
        <f>O38+O37+O33+O32+O31+O30+O29+O28+O27+O26+O25+O24+O23+O22+O21+O20+O16+O15+O14+O13+O12+O11+O10+O9+O8+O7+O6</f>
        <v>0</v>
      </c>
    </row>
    <row r="49" spans="2:6" ht="15.75" thickBot="1">
      <c r="B49" s="252" t="s">
        <v>495</v>
      </c>
      <c r="C49" s="254">
        <f>K17</f>
        <v>15</v>
      </c>
      <c r="E49" s="252" t="s">
        <v>495</v>
      </c>
      <c r="F49" s="254">
        <f>O17</f>
        <v>0</v>
      </c>
    </row>
    <row r="50" spans="2:6">
      <c r="C50" s="198">
        <f>SUM(C44:C49)</f>
        <v>116.79999999999997</v>
      </c>
      <c r="F50" s="198">
        <f>SUM(F44:F49)</f>
        <v>0</v>
      </c>
    </row>
  </sheetData>
  <mergeCells count="6">
    <mergeCell ref="A1:B1"/>
    <mergeCell ref="C1:D1"/>
    <mergeCell ref="A3:O3"/>
    <mergeCell ref="A4:O4"/>
    <mergeCell ref="A41:J41"/>
    <mergeCell ref="K1:L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2"/>
  <sheetViews>
    <sheetView topLeftCell="B4" zoomScale="90" zoomScaleNormal="90" workbookViewId="0">
      <selection activeCell="K5" sqref="K5:K23"/>
    </sheetView>
  </sheetViews>
  <sheetFormatPr defaultRowHeight="15"/>
  <cols>
    <col min="2" max="2" width="8.7109375" bestFit="1" customWidth="1"/>
    <col min="3" max="3" width="15.85546875" style="1" bestFit="1" customWidth="1"/>
    <col min="4" max="4" width="30" style="2" bestFit="1" customWidth="1"/>
    <col min="5" max="5" width="14.28515625" bestFit="1" customWidth="1"/>
    <col min="6" max="6" width="26" customWidth="1"/>
    <col min="7" max="7" width="19.140625" bestFit="1" customWidth="1"/>
    <col min="8" max="8" width="10.42578125" bestFit="1" customWidth="1"/>
    <col min="11" max="11" width="11.7109375" bestFit="1" customWidth="1"/>
    <col min="12" max="12" width="15.85546875" bestFit="1" customWidth="1"/>
    <col min="14" max="14" width="24.28515625" bestFit="1" customWidth="1"/>
    <col min="15" max="15" width="11.42578125" bestFit="1" customWidth="1"/>
    <col min="26" max="26" width="9.140625" style="1"/>
  </cols>
  <sheetData>
    <row r="1" spans="1:26" ht="16.5" thickBot="1">
      <c r="A1" s="348" t="s">
        <v>138</v>
      </c>
      <c r="B1" s="348"/>
      <c r="C1" s="349" t="s">
        <v>455</v>
      </c>
      <c r="D1" s="349"/>
      <c r="G1" s="1"/>
      <c r="I1" s="395" t="s">
        <v>514</v>
      </c>
      <c r="J1" s="396"/>
      <c r="K1" s="333"/>
      <c r="L1" s="327">
        <f>'Detail-Planner'!E8</f>
        <v>11000</v>
      </c>
      <c r="N1" s="1"/>
    </row>
    <row r="2" spans="1:26">
      <c r="A2" s="353" t="s">
        <v>454</v>
      </c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5"/>
    </row>
    <row r="3" spans="1:26" ht="15.75" thickBot="1">
      <c r="A3" s="356"/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8"/>
    </row>
    <row r="4" spans="1:26" ht="15.75">
      <c r="A4" s="167" t="s">
        <v>403</v>
      </c>
      <c r="B4" s="167" t="s">
        <v>1</v>
      </c>
      <c r="C4" s="168" t="s">
        <v>139</v>
      </c>
      <c r="D4" s="400" t="s">
        <v>404</v>
      </c>
      <c r="E4" s="167" t="s">
        <v>405</v>
      </c>
      <c r="F4" s="167" t="s">
        <v>406</v>
      </c>
      <c r="G4" s="167" t="s">
        <v>407</v>
      </c>
      <c r="H4" s="167" t="s">
        <v>408</v>
      </c>
      <c r="I4" s="169" t="s">
        <v>409</v>
      </c>
      <c r="J4" s="223" t="s">
        <v>347</v>
      </c>
      <c r="K4" s="399" t="s">
        <v>517</v>
      </c>
      <c r="L4" s="399" t="s">
        <v>514</v>
      </c>
      <c r="M4" s="224" t="s">
        <v>144</v>
      </c>
      <c r="N4" s="169" t="s">
        <v>410</v>
      </c>
      <c r="O4" s="169" t="s">
        <v>411</v>
      </c>
    </row>
    <row r="5" spans="1:26">
      <c r="A5" s="35">
        <v>1</v>
      </c>
      <c r="B5" s="35">
        <v>1</v>
      </c>
      <c r="C5" s="72" t="s">
        <v>412</v>
      </c>
      <c r="D5" s="54" t="s">
        <v>413</v>
      </c>
      <c r="E5" s="36" t="s">
        <v>87</v>
      </c>
      <c r="F5" s="36" t="s">
        <v>414</v>
      </c>
      <c r="G5" s="72" t="s">
        <v>415</v>
      </c>
      <c r="H5" s="183">
        <v>2.7</v>
      </c>
      <c r="I5" s="6">
        <v>2.7</v>
      </c>
      <c r="J5" s="6">
        <v>0</v>
      </c>
      <c r="K5" s="6">
        <f>B5*Z5-J5</f>
        <v>11000</v>
      </c>
      <c r="L5" s="6">
        <f>IF(K5&lt;0,0,K5)</f>
        <v>11000</v>
      </c>
      <c r="M5" s="6">
        <f>L5*I5</f>
        <v>29700.000000000004</v>
      </c>
      <c r="N5" s="6" t="s">
        <v>293</v>
      </c>
      <c r="O5" s="5" t="s">
        <v>416</v>
      </c>
      <c r="Z5" s="1">
        <f>L1</f>
        <v>11000</v>
      </c>
    </row>
    <row r="6" spans="1:26">
      <c r="A6" s="35">
        <v>2</v>
      </c>
      <c r="B6" s="35">
        <v>1</v>
      </c>
      <c r="C6" s="72" t="s">
        <v>417</v>
      </c>
      <c r="D6" s="54" t="s">
        <v>418</v>
      </c>
      <c r="E6" s="36" t="s">
        <v>419</v>
      </c>
      <c r="F6" s="36" t="s">
        <v>18</v>
      </c>
      <c r="G6" s="72" t="s">
        <v>420</v>
      </c>
      <c r="H6" s="183">
        <v>1.95</v>
      </c>
      <c r="I6" s="6">
        <f t="shared" ref="I6:I18" si="0">H6*B6</f>
        <v>1.95</v>
      </c>
      <c r="J6" s="6">
        <v>0</v>
      </c>
      <c r="K6" s="6">
        <f t="shared" ref="K6:K23" si="1">B6*Z6-J6</f>
        <v>11000</v>
      </c>
      <c r="L6" s="6">
        <f t="shared" ref="L6:L23" si="2">IF(K6&lt;0,0,K6)</f>
        <v>11000</v>
      </c>
      <c r="M6" s="6">
        <f t="shared" ref="M6:M24" si="3">L6*I6</f>
        <v>21450</v>
      </c>
      <c r="N6" s="6" t="s">
        <v>292</v>
      </c>
      <c r="O6" s="5" t="s">
        <v>421</v>
      </c>
      <c r="Z6" s="1">
        <f>L1</f>
        <v>11000</v>
      </c>
    </row>
    <row r="7" spans="1:26">
      <c r="A7" s="35">
        <v>3</v>
      </c>
      <c r="B7" s="35">
        <v>1</v>
      </c>
      <c r="C7" s="11" t="s">
        <v>4</v>
      </c>
      <c r="D7" s="54" t="s">
        <v>6</v>
      </c>
      <c r="E7" s="36" t="s">
        <v>422</v>
      </c>
      <c r="F7" s="36" t="s">
        <v>146</v>
      </c>
      <c r="G7" s="72" t="s">
        <v>423</v>
      </c>
      <c r="H7" s="259">
        <v>2.6</v>
      </c>
      <c r="I7" s="6">
        <f t="shared" si="0"/>
        <v>2.6</v>
      </c>
      <c r="J7" s="6">
        <v>0</v>
      </c>
      <c r="K7" s="6">
        <f t="shared" si="1"/>
        <v>11000</v>
      </c>
      <c r="L7" s="6">
        <f t="shared" si="2"/>
        <v>11000</v>
      </c>
      <c r="M7" s="6">
        <f t="shared" si="3"/>
        <v>28600</v>
      </c>
      <c r="N7" s="6" t="s">
        <v>292</v>
      </c>
      <c r="O7" s="5" t="s">
        <v>347</v>
      </c>
      <c r="Z7" s="1">
        <f>L1</f>
        <v>11000</v>
      </c>
    </row>
    <row r="8" spans="1:26">
      <c r="A8" s="35">
        <v>4</v>
      </c>
      <c r="B8" s="35">
        <v>1</v>
      </c>
      <c r="C8" s="72" t="s">
        <v>424</v>
      </c>
      <c r="D8" s="54" t="s">
        <v>425</v>
      </c>
      <c r="E8" s="36" t="s">
        <v>28</v>
      </c>
      <c r="F8" s="36" t="s">
        <v>33</v>
      </c>
      <c r="G8" s="72" t="s">
        <v>423</v>
      </c>
      <c r="H8" s="183">
        <v>2.2000000000000002</v>
      </c>
      <c r="I8" s="6">
        <v>2.2000000000000002</v>
      </c>
      <c r="J8" s="6">
        <v>0</v>
      </c>
      <c r="K8" s="6">
        <f t="shared" si="1"/>
        <v>11000</v>
      </c>
      <c r="L8" s="6">
        <f t="shared" si="2"/>
        <v>11000</v>
      </c>
      <c r="M8" s="6">
        <f t="shared" si="3"/>
        <v>24200.000000000004</v>
      </c>
      <c r="N8" s="6" t="s">
        <v>292</v>
      </c>
      <c r="O8" s="171" t="s">
        <v>421</v>
      </c>
      <c r="Z8" s="1">
        <f>L1</f>
        <v>11000</v>
      </c>
    </row>
    <row r="9" spans="1:26">
      <c r="A9" s="35">
        <v>5</v>
      </c>
      <c r="B9" s="35">
        <v>1</v>
      </c>
      <c r="C9" s="72" t="s">
        <v>426</v>
      </c>
      <c r="D9" s="54" t="s">
        <v>427</v>
      </c>
      <c r="E9" s="36" t="s">
        <v>47</v>
      </c>
      <c r="F9" s="36" t="s">
        <v>53</v>
      </c>
      <c r="G9" s="72" t="s">
        <v>428</v>
      </c>
      <c r="H9" s="183">
        <v>0.1</v>
      </c>
      <c r="I9" s="6">
        <f t="shared" si="0"/>
        <v>0.1</v>
      </c>
      <c r="J9" s="6">
        <v>0</v>
      </c>
      <c r="K9" s="6">
        <f t="shared" si="1"/>
        <v>11000</v>
      </c>
      <c r="L9" s="6">
        <f t="shared" si="2"/>
        <v>11000</v>
      </c>
      <c r="M9" s="6">
        <f t="shared" si="3"/>
        <v>1100</v>
      </c>
      <c r="N9" s="6" t="s">
        <v>292</v>
      </c>
      <c r="O9" s="171" t="s">
        <v>347</v>
      </c>
      <c r="Z9" s="1">
        <f>L1</f>
        <v>11000</v>
      </c>
    </row>
    <row r="10" spans="1:26" ht="15.75" thickBot="1">
      <c r="A10" s="35">
        <v>6</v>
      </c>
      <c r="B10" s="35">
        <v>1</v>
      </c>
      <c r="C10" s="236" t="s">
        <v>478</v>
      </c>
      <c r="D10" s="401" t="s">
        <v>453</v>
      </c>
      <c r="E10" s="36" t="s">
        <v>51</v>
      </c>
      <c r="F10" s="36" t="s">
        <v>49</v>
      </c>
      <c r="G10" s="72" t="s">
        <v>428</v>
      </c>
      <c r="H10" s="183">
        <v>0.2</v>
      </c>
      <c r="I10" s="6">
        <f t="shared" si="0"/>
        <v>0.2</v>
      </c>
      <c r="J10" s="6">
        <v>0</v>
      </c>
      <c r="K10" s="6">
        <f t="shared" si="1"/>
        <v>11000</v>
      </c>
      <c r="L10" s="6">
        <f t="shared" si="2"/>
        <v>11000</v>
      </c>
      <c r="M10" s="6">
        <f t="shared" si="3"/>
        <v>2200</v>
      </c>
      <c r="N10" s="6" t="s">
        <v>292</v>
      </c>
      <c r="O10" s="171" t="s">
        <v>421</v>
      </c>
      <c r="Z10" s="1">
        <f>L1</f>
        <v>11000</v>
      </c>
    </row>
    <row r="11" spans="1:26" ht="15.75" thickBot="1">
      <c r="A11" s="35">
        <v>7</v>
      </c>
      <c r="B11" s="35">
        <v>1</v>
      </c>
      <c r="C11" s="236" t="s">
        <v>327</v>
      </c>
      <c r="D11" s="401" t="s">
        <v>248</v>
      </c>
      <c r="E11" s="36" t="s">
        <v>79</v>
      </c>
      <c r="F11" s="36" t="s">
        <v>49</v>
      </c>
      <c r="G11" s="72" t="s">
        <v>428</v>
      </c>
      <c r="H11" s="183">
        <v>0.06</v>
      </c>
      <c r="I11" s="6">
        <f t="shared" si="0"/>
        <v>0.06</v>
      </c>
      <c r="J11" s="6">
        <v>0</v>
      </c>
      <c r="K11" s="6">
        <f t="shared" si="1"/>
        <v>11000</v>
      </c>
      <c r="L11" s="6">
        <f t="shared" si="2"/>
        <v>11000</v>
      </c>
      <c r="M11" s="6">
        <f t="shared" si="3"/>
        <v>660</v>
      </c>
      <c r="N11" s="6" t="s">
        <v>292</v>
      </c>
      <c r="O11" s="171" t="s">
        <v>421</v>
      </c>
      <c r="Z11" s="1">
        <f>L1</f>
        <v>11000</v>
      </c>
    </row>
    <row r="12" spans="1:26">
      <c r="A12" s="35">
        <v>8</v>
      </c>
      <c r="B12" s="35">
        <v>1</v>
      </c>
      <c r="C12" s="72" t="s">
        <v>432</v>
      </c>
      <c r="D12" s="54" t="s">
        <v>433</v>
      </c>
      <c r="E12" s="36" t="s">
        <v>55</v>
      </c>
      <c r="F12" s="36" t="s">
        <v>49</v>
      </c>
      <c r="G12" s="72" t="s">
        <v>428</v>
      </c>
      <c r="H12" s="183">
        <v>0.06</v>
      </c>
      <c r="I12" s="6">
        <f t="shared" si="0"/>
        <v>0.06</v>
      </c>
      <c r="J12" s="6">
        <v>0</v>
      </c>
      <c r="K12" s="6">
        <f t="shared" si="1"/>
        <v>11000</v>
      </c>
      <c r="L12" s="6">
        <f t="shared" si="2"/>
        <v>11000</v>
      </c>
      <c r="M12" s="6">
        <f t="shared" si="3"/>
        <v>660</v>
      </c>
      <c r="N12" s="6" t="s">
        <v>292</v>
      </c>
      <c r="O12" s="171" t="s">
        <v>347</v>
      </c>
      <c r="Z12" s="1">
        <f>L1</f>
        <v>11000</v>
      </c>
    </row>
    <row r="13" spans="1:26">
      <c r="A13" s="35">
        <v>9</v>
      </c>
      <c r="B13" s="35">
        <v>1</v>
      </c>
      <c r="C13" s="72" t="s">
        <v>434</v>
      </c>
      <c r="D13" s="54" t="s">
        <v>435</v>
      </c>
      <c r="E13" s="36" t="s">
        <v>264</v>
      </c>
      <c r="F13" s="36" t="s">
        <v>88</v>
      </c>
      <c r="G13" s="72"/>
      <c r="H13" s="263">
        <v>9</v>
      </c>
      <c r="I13" s="6">
        <f t="shared" si="0"/>
        <v>9</v>
      </c>
      <c r="J13" s="6">
        <v>0</v>
      </c>
      <c r="K13" s="6">
        <f t="shared" si="1"/>
        <v>11000</v>
      </c>
      <c r="L13" s="6">
        <f t="shared" si="2"/>
        <v>11000</v>
      </c>
      <c r="M13" s="6">
        <f t="shared" si="3"/>
        <v>99000</v>
      </c>
      <c r="N13" s="6" t="s">
        <v>172</v>
      </c>
      <c r="O13" s="171" t="s">
        <v>416</v>
      </c>
      <c r="Z13" s="1">
        <f>L1</f>
        <v>11000</v>
      </c>
    </row>
    <row r="14" spans="1:26">
      <c r="A14" s="35">
        <v>10</v>
      </c>
      <c r="B14" s="35">
        <v>1</v>
      </c>
      <c r="C14" s="72" t="s">
        <v>436</v>
      </c>
      <c r="D14" s="54" t="s">
        <v>437</v>
      </c>
      <c r="E14" s="36" t="s">
        <v>84</v>
      </c>
      <c r="F14" s="36" t="s">
        <v>88</v>
      </c>
      <c r="G14" s="72"/>
      <c r="H14" s="226">
        <v>12.5</v>
      </c>
      <c r="I14" s="6">
        <f t="shared" si="0"/>
        <v>12.5</v>
      </c>
      <c r="J14" s="6">
        <v>0</v>
      </c>
      <c r="K14" s="6">
        <f t="shared" si="1"/>
        <v>11000</v>
      </c>
      <c r="L14" s="6">
        <f t="shared" si="2"/>
        <v>11000</v>
      </c>
      <c r="M14" s="6">
        <f t="shared" si="3"/>
        <v>137500</v>
      </c>
      <c r="N14" s="6" t="s">
        <v>185</v>
      </c>
      <c r="O14" s="171" t="s">
        <v>347</v>
      </c>
      <c r="Z14" s="1">
        <f>L1</f>
        <v>11000</v>
      </c>
    </row>
    <row r="15" spans="1:26" s="1" customFormat="1">
      <c r="A15" s="35">
        <v>11</v>
      </c>
      <c r="B15" s="35">
        <v>1</v>
      </c>
      <c r="C15" s="72" t="s">
        <v>438</v>
      </c>
      <c r="D15" s="54" t="s">
        <v>439</v>
      </c>
      <c r="E15" s="36" t="s">
        <v>440</v>
      </c>
      <c r="F15" s="172" t="s">
        <v>441</v>
      </c>
      <c r="G15" s="72" t="s">
        <v>415</v>
      </c>
      <c r="H15" s="183">
        <v>0.75</v>
      </c>
      <c r="I15" s="6">
        <f t="shared" si="0"/>
        <v>0.75</v>
      </c>
      <c r="J15" s="6">
        <v>0</v>
      </c>
      <c r="K15" s="6">
        <f t="shared" si="1"/>
        <v>11000</v>
      </c>
      <c r="L15" s="6">
        <f t="shared" si="2"/>
        <v>11000</v>
      </c>
      <c r="M15" s="6">
        <f t="shared" si="3"/>
        <v>8250</v>
      </c>
      <c r="N15" s="6" t="s">
        <v>293</v>
      </c>
      <c r="O15" s="6" t="s">
        <v>416</v>
      </c>
      <c r="Z15" s="1">
        <f>L1</f>
        <v>11000</v>
      </c>
    </row>
    <row r="16" spans="1:26">
      <c r="A16" s="35">
        <v>12</v>
      </c>
      <c r="B16" s="6">
        <v>1</v>
      </c>
      <c r="C16" s="72" t="s">
        <v>442</v>
      </c>
      <c r="D16" s="47" t="s">
        <v>443</v>
      </c>
      <c r="E16" s="6"/>
      <c r="F16" s="6"/>
      <c r="G16" s="6"/>
      <c r="H16" s="183">
        <v>1.5</v>
      </c>
      <c r="I16" s="6">
        <f t="shared" si="0"/>
        <v>1.5</v>
      </c>
      <c r="J16" s="6">
        <v>0</v>
      </c>
      <c r="K16" s="6">
        <f t="shared" si="1"/>
        <v>11000</v>
      </c>
      <c r="L16" s="6">
        <f t="shared" si="2"/>
        <v>11000</v>
      </c>
      <c r="M16" s="6">
        <f t="shared" si="3"/>
        <v>16500</v>
      </c>
      <c r="N16" s="6" t="s">
        <v>234</v>
      </c>
      <c r="O16" s="171" t="s">
        <v>416</v>
      </c>
      <c r="Z16" s="1">
        <f>L1</f>
        <v>11000</v>
      </c>
    </row>
    <row r="17" spans="1:26">
      <c r="A17" s="35">
        <v>13</v>
      </c>
      <c r="B17" s="6">
        <v>1</v>
      </c>
      <c r="C17" s="6" t="s">
        <v>472</v>
      </c>
      <c r="D17" s="402" t="s">
        <v>473</v>
      </c>
      <c r="E17" s="6" t="s">
        <v>474</v>
      </c>
      <c r="F17" s="6" t="s">
        <v>475</v>
      </c>
      <c r="G17" s="6" t="s">
        <v>393</v>
      </c>
      <c r="H17" s="183">
        <v>1.4</v>
      </c>
      <c r="I17" s="6">
        <f t="shared" si="0"/>
        <v>1.4</v>
      </c>
      <c r="J17" s="6">
        <v>0</v>
      </c>
      <c r="K17" s="6">
        <f t="shared" si="1"/>
        <v>11000</v>
      </c>
      <c r="L17" s="6">
        <f t="shared" si="2"/>
        <v>11000</v>
      </c>
      <c r="M17" s="6">
        <f t="shared" si="3"/>
        <v>15399.999999999998</v>
      </c>
      <c r="N17" s="6"/>
      <c r="O17" s="171"/>
      <c r="Z17" s="1">
        <f>L1</f>
        <v>11000</v>
      </c>
    </row>
    <row r="18" spans="1:26">
      <c r="A18" s="35">
        <v>14</v>
      </c>
      <c r="B18" s="35">
        <v>1</v>
      </c>
      <c r="C18" s="6" t="s">
        <v>444</v>
      </c>
      <c r="D18" s="51" t="s">
        <v>445</v>
      </c>
      <c r="E18" s="6"/>
      <c r="F18" s="6"/>
      <c r="G18" s="6" t="s">
        <v>446</v>
      </c>
      <c r="H18" s="262">
        <v>6</v>
      </c>
      <c r="I18" s="6">
        <f t="shared" si="0"/>
        <v>6</v>
      </c>
      <c r="J18" s="6">
        <v>0</v>
      </c>
      <c r="K18" s="6">
        <f t="shared" si="1"/>
        <v>11000</v>
      </c>
      <c r="L18" s="6">
        <f t="shared" si="2"/>
        <v>11000</v>
      </c>
      <c r="M18" s="6">
        <f t="shared" si="3"/>
        <v>66000</v>
      </c>
      <c r="N18" s="6" t="s">
        <v>446</v>
      </c>
      <c r="O18" s="171"/>
      <c r="Z18" s="1">
        <f>L1</f>
        <v>11000</v>
      </c>
    </row>
    <row r="19" spans="1:26">
      <c r="A19" s="35">
        <v>15</v>
      </c>
      <c r="B19" s="35">
        <v>3</v>
      </c>
      <c r="C19" s="6" t="s">
        <v>447</v>
      </c>
      <c r="D19" s="403" t="s">
        <v>355</v>
      </c>
      <c r="E19" s="6" t="s">
        <v>448</v>
      </c>
      <c r="F19" s="6" t="s">
        <v>449</v>
      </c>
      <c r="G19" s="6" t="s">
        <v>450</v>
      </c>
      <c r="H19" s="261">
        <v>0.3</v>
      </c>
      <c r="I19" s="6">
        <f t="shared" ref="I19:I22" si="4">H19*B19</f>
        <v>0.89999999999999991</v>
      </c>
      <c r="J19" s="6">
        <v>0</v>
      </c>
      <c r="K19" s="6">
        <f t="shared" si="1"/>
        <v>33000</v>
      </c>
      <c r="L19" s="6">
        <f t="shared" si="2"/>
        <v>33000</v>
      </c>
      <c r="M19" s="6">
        <f t="shared" si="3"/>
        <v>29699.999999999996</v>
      </c>
      <c r="N19" s="11" t="s">
        <v>316</v>
      </c>
      <c r="O19" s="171"/>
      <c r="Z19" s="1">
        <f>L1</f>
        <v>11000</v>
      </c>
    </row>
    <row r="20" spans="1:26">
      <c r="A20" s="35">
        <v>16</v>
      </c>
      <c r="B20" s="6">
        <v>1</v>
      </c>
      <c r="C20" s="6" t="s">
        <v>451</v>
      </c>
      <c r="D20" s="403" t="s">
        <v>356</v>
      </c>
      <c r="E20" s="6" t="s">
        <v>452</v>
      </c>
      <c r="F20" s="6" t="s">
        <v>449</v>
      </c>
      <c r="G20" s="173" t="s">
        <v>450</v>
      </c>
      <c r="H20" s="261">
        <v>0.3</v>
      </c>
      <c r="I20" s="6">
        <f t="shared" si="4"/>
        <v>0.3</v>
      </c>
      <c r="J20" s="6">
        <v>0</v>
      </c>
      <c r="K20" s="6">
        <f t="shared" si="1"/>
        <v>11000</v>
      </c>
      <c r="L20" s="6">
        <f t="shared" si="2"/>
        <v>11000</v>
      </c>
      <c r="M20" s="6">
        <f t="shared" si="3"/>
        <v>3300</v>
      </c>
      <c r="N20" s="11" t="s">
        <v>316</v>
      </c>
      <c r="O20" s="171"/>
      <c r="Z20" s="1">
        <f>L1</f>
        <v>11000</v>
      </c>
    </row>
    <row r="21" spans="1:26">
      <c r="A21" s="35">
        <v>17</v>
      </c>
      <c r="B21" s="6">
        <v>1</v>
      </c>
      <c r="C21" s="72" t="s">
        <v>351</v>
      </c>
      <c r="D21" s="403" t="s">
        <v>350</v>
      </c>
      <c r="E21" s="6"/>
      <c r="F21" s="6"/>
      <c r="G21" s="6"/>
      <c r="H21" s="226">
        <v>1.25</v>
      </c>
      <c r="I21" s="6">
        <f t="shared" si="4"/>
        <v>1.25</v>
      </c>
      <c r="J21" s="6">
        <v>0</v>
      </c>
      <c r="K21" s="6">
        <f t="shared" si="1"/>
        <v>11000</v>
      </c>
      <c r="L21" s="6">
        <f t="shared" si="2"/>
        <v>11000</v>
      </c>
      <c r="M21" s="6">
        <f t="shared" si="3"/>
        <v>13750</v>
      </c>
      <c r="N21" s="6"/>
      <c r="O21" s="171"/>
      <c r="Z21" s="1">
        <f>L1</f>
        <v>11000</v>
      </c>
    </row>
    <row r="22" spans="1:26">
      <c r="A22" s="35">
        <v>18</v>
      </c>
      <c r="B22" s="6">
        <v>1</v>
      </c>
      <c r="C22" s="72" t="s">
        <v>349</v>
      </c>
      <c r="D22" s="403" t="s">
        <v>348</v>
      </c>
      <c r="E22" s="6"/>
      <c r="F22" s="6"/>
      <c r="G22" s="6"/>
      <c r="H22" s="226">
        <v>0.3</v>
      </c>
      <c r="I22" s="6">
        <f t="shared" si="4"/>
        <v>0.3</v>
      </c>
      <c r="J22" s="6">
        <v>0</v>
      </c>
      <c r="K22" s="6">
        <f t="shared" si="1"/>
        <v>11000</v>
      </c>
      <c r="L22" s="6">
        <f t="shared" si="2"/>
        <v>11000</v>
      </c>
      <c r="M22" s="6">
        <f t="shared" si="3"/>
        <v>3300</v>
      </c>
      <c r="N22" s="6"/>
      <c r="O22" s="171"/>
      <c r="Z22" s="1">
        <f>L1</f>
        <v>11000</v>
      </c>
    </row>
    <row r="23" spans="1:26">
      <c r="A23" s="35">
        <v>19</v>
      </c>
      <c r="B23" s="6">
        <v>1</v>
      </c>
      <c r="C23" s="72"/>
      <c r="D23" s="403" t="s">
        <v>196</v>
      </c>
      <c r="E23" s="6"/>
      <c r="F23" s="6"/>
      <c r="G23" s="6"/>
      <c r="H23" s="183">
        <v>5</v>
      </c>
      <c r="I23" s="6">
        <v>5</v>
      </c>
      <c r="J23" s="6">
        <v>0</v>
      </c>
      <c r="K23" s="6">
        <f t="shared" si="1"/>
        <v>11000</v>
      </c>
      <c r="L23" s="6">
        <f t="shared" si="2"/>
        <v>11000</v>
      </c>
      <c r="M23" s="6">
        <f t="shared" si="3"/>
        <v>55000</v>
      </c>
      <c r="N23" s="6" t="s">
        <v>235</v>
      </c>
      <c r="O23" s="171"/>
      <c r="Z23" s="1">
        <f>L1</f>
        <v>11000</v>
      </c>
    </row>
    <row r="24" spans="1:26" ht="15.75" thickBot="1">
      <c r="G24" s="174" t="s">
        <v>409</v>
      </c>
      <c r="H24" s="175"/>
      <c r="I24" s="176">
        <f>SUM(I5:I23)</f>
        <v>48.769999999999989</v>
      </c>
      <c r="J24" s="222"/>
      <c r="K24" s="222"/>
      <c r="L24" s="222"/>
      <c r="M24" s="6">
        <f>SUM(M5:M23)</f>
        <v>556270</v>
      </c>
      <c r="N24" s="1"/>
    </row>
    <row r="25" spans="1:26" ht="15.75" thickBot="1">
      <c r="G25" s="1"/>
      <c r="N25" s="1"/>
    </row>
    <row r="26" spans="1:26">
      <c r="C26" s="249" t="s">
        <v>509</v>
      </c>
      <c r="D26" s="404">
        <f>I22+I21+I14</f>
        <v>14.05</v>
      </c>
      <c r="F26" s="249" t="s">
        <v>509</v>
      </c>
      <c r="G26" s="255">
        <f>M22+M21+M14</f>
        <v>154550</v>
      </c>
    </row>
    <row r="27" spans="1:26">
      <c r="C27" s="250" t="s">
        <v>492</v>
      </c>
      <c r="D27" s="405"/>
      <c r="F27" s="250" t="s">
        <v>492</v>
      </c>
      <c r="G27" s="251">
        <v>0</v>
      </c>
    </row>
    <row r="28" spans="1:26">
      <c r="C28" s="250" t="s">
        <v>493</v>
      </c>
      <c r="D28" s="405">
        <f>I18</f>
        <v>6</v>
      </c>
      <c r="F28" s="250" t="s">
        <v>493</v>
      </c>
      <c r="G28" s="251">
        <f>M18</f>
        <v>66000</v>
      </c>
    </row>
    <row r="29" spans="1:26">
      <c r="C29" s="250" t="s">
        <v>490</v>
      </c>
      <c r="D29" s="406">
        <f>I20+I19</f>
        <v>1.2</v>
      </c>
      <c r="F29" s="250" t="s">
        <v>490</v>
      </c>
      <c r="G29" s="253">
        <f>M20+M19</f>
        <v>33000</v>
      </c>
    </row>
    <row r="30" spans="1:26">
      <c r="C30" s="250" t="s">
        <v>494</v>
      </c>
      <c r="D30" s="406">
        <f>I23+I17+I16+I15+I12+I11+I10+I9+I8+I7+I6+I5</f>
        <v>18.52</v>
      </c>
      <c r="F30" s="250" t="s">
        <v>494</v>
      </c>
      <c r="G30" s="253">
        <f>M23+M17+M16+M15+M12+M11+M10+M9+M8+M7+M6+M5</f>
        <v>203720</v>
      </c>
    </row>
    <row r="31" spans="1:26" ht="15.75" thickBot="1">
      <c r="C31" s="252" t="s">
        <v>495</v>
      </c>
      <c r="D31" s="407">
        <f>I13</f>
        <v>9</v>
      </c>
      <c r="F31" s="252" t="s">
        <v>495</v>
      </c>
      <c r="G31" s="254">
        <f>M13</f>
        <v>99000</v>
      </c>
    </row>
    <row r="32" spans="1:26">
      <c r="D32" s="394">
        <f>SUM(D26:D31)</f>
        <v>48.769999999999996</v>
      </c>
      <c r="G32" s="198">
        <f>SUM(G26:G31)</f>
        <v>556270</v>
      </c>
    </row>
  </sheetData>
  <mergeCells count="4">
    <mergeCell ref="A1:B1"/>
    <mergeCell ref="C1:D1"/>
    <mergeCell ref="A2:O3"/>
    <mergeCell ref="I1:J1"/>
  </mergeCells>
  <pageMargins left="0.7" right="0.7" top="0.75" bottom="0.75" header="0.3" footer="0.3"/>
  <pageSetup scale="62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4"/>
  <sheetViews>
    <sheetView topLeftCell="B13" zoomScale="90" zoomScaleNormal="90" workbookViewId="0">
      <selection activeCell="K6" sqref="K6"/>
    </sheetView>
  </sheetViews>
  <sheetFormatPr defaultRowHeight="15"/>
  <cols>
    <col min="1" max="1" width="12.85546875" bestFit="1" customWidth="1"/>
    <col min="2" max="2" width="8.7109375" bestFit="1" customWidth="1"/>
    <col min="3" max="3" width="15.85546875" bestFit="1" customWidth="1"/>
    <col min="4" max="4" width="30" bestFit="1" customWidth="1"/>
    <col min="5" max="5" width="14.28515625" bestFit="1" customWidth="1"/>
    <col min="6" max="6" width="29.7109375" customWidth="1"/>
    <col min="7" max="7" width="19.140625" bestFit="1" customWidth="1"/>
    <col min="8" max="8" width="10.42578125" bestFit="1" customWidth="1"/>
    <col min="9" max="9" width="8.7109375" customWidth="1"/>
    <col min="10" max="10" width="12.140625" customWidth="1"/>
    <col min="11" max="11" width="11.7109375" bestFit="1" customWidth="1"/>
    <col min="12" max="12" width="13.5703125" bestFit="1" customWidth="1"/>
    <col min="13" max="13" width="8.85546875" bestFit="1" customWidth="1"/>
    <col min="14" max="14" width="24.28515625" bestFit="1" customWidth="1"/>
    <col min="15" max="15" width="11.42578125" bestFit="1" customWidth="1"/>
    <col min="16" max="16" width="19.28515625" style="1" bestFit="1" customWidth="1"/>
    <col min="17" max="17" width="10.42578125" style="1" bestFit="1" customWidth="1"/>
    <col min="26" max="26" width="9.140625" style="1"/>
  </cols>
  <sheetData>
    <row r="1" spans="1:26" ht="16.5" thickBot="1">
      <c r="A1" s="348" t="s">
        <v>138</v>
      </c>
      <c r="B1" s="348"/>
      <c r="C1" s="349" t="s">
        <v>402</v>
      </c>
      <c r="D1" s="349"/>
      <c r="G1" s="1"/>
      <c r="I1" s="395" t="s">
        <v>514</v>
      </c>
      <c r="J1" s="396"/>
      <c r="K1" s="333"/>
      <c r="L1" s="327">
        <f>'Detail-Planner'!E9</f>
        <v>0</v>
      </c>
      <c r="N1" s="1"/>
    </row>
    <row r="2" spans="1:26">
      <c r="A2" s="353" t="s">
        <v>479</v>
      </c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5"/>
    </row>
    <row r="3" spans="1:26" ht="15.75" thickBot="1">
      <c r="A3" s="356"/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8"/>
    </row>
    <row r="4" spans="1:26" ht="15.75">
      <c r="A4" s="167" t="s">
        <v>403</v>
      </c>
      <c r="B4" s="167" t="s">
        <v>1</v>
      </c>
      <c r="C4" s="168" t="s">
        <v>139</v>
      </c>
      <c r="D4" s="167" t="s">
        <v>404</v>
      </c>
      <c r="E4" s="167" t="s">
        <v>405</v>
      </c>
      <c r="F4" s="167" t="s">
        <v>406</v>
      </c>
      <c r="G4" s="167" t="s">
        <v>407</v>
      </c>
      <c r="H4" s="167" t="s">
        <v>408</v>
      </c>
      <c r="I4" s="169" t="s">
        <v>409</v>
      </c>
      <c r="J4" s="223" t="s">
        <v>347</v>
      </c>
      <c r="K4" s="399" t="s">
        <v>517</v>
      </c>
      <c r="L4" s="399" t="s">
        <v>514</v>
      </c>
      <c r="M4" s="224" t="s">
        <v>144</v>
      </c>
      <c r="N4" s="169" t="s">
        <v>410</v>
      </c>
      <c r="O4" s="169" t="s">
        <v>411</v>
      </c>
      <c r="P4" s="308" t="s">
        <v>511</v>
      </c>
      <c r="Q4" s="167" t="s">
        <v>471</v>
      </c>
    </row>
    <row r="5" spans="1:26">
      <c r="A5" s="35">
        <v>1</v>
      </c>
      <c r="B5" s="35">
        <v>1</v>
      </c>
      <c r="C5" s="72" t="s">
        <v>412</v>
      </c>
      <c r="D5" s="36" t="s">
        <v>413</v>
      </c>
      <c r="E5" s="36" t="s">
        <v>87</v>
      </c>
      <c r="F5" s="36" t="s">
        <v>414</v>
      </c>
      <c r="G5" s="72" t="s">
        <v>415</v>
      </c>
      <c r="H5" s="72">
        <v>2.7</v>
      </c>
      <c r="I5" s="260">
        <f>H5*B5</f>
        <v>2.7</v>
      </c>
      <c r="J5" s="6">
        <v>0</v>
      </c>
      <c r="K5" s="6">
        <f>B5*Z5-J5</f>
        <v>0</v>
      </c>
      <c r="L5" s="6">
        <f>IF(K5&lt;0,0,K5)</f>
        <v>0</v>
      </c>
      <c r="M5" s="6">
        <f>L5*I5</f>
        <v>0</v>
      </c>
      <c r="N5" s="6" t="s">
        <v>293</v>
      </c>
      <c r="O5" s="5" t="s">
        <v>416</v>
      </c>
      <c r="Z5" s="1">
        <f>L1</f>
        <v>0</v>
      </c>
    </row>
    <row r="6" spans="1:26">
      <c r="A6" s="35">
        <v>2</v>
      </c>
      <c r="B6" s="35">
        <v>1</v>
      </c>
      <c r="C6" s="72" t="s">
        <v>417</v>
      </c>
      <c r="D6" s="36" t="s">
        <v>418</v>
      </c>
      <c r="E6" s="36" t="s">
        <v>419</v>
      </c>
      <c r="F6" s="36" t="s">
        <v>18</v>
      </c>
      <c r="G6" s="72" t="s">
        <v>420</v>
      </c>
      <c r="H6" s="72">
        <v>1.95</v>
      </c>
      <c r="I6" s="260">
        <f t="shared" ref="I6:I23" si="0">H6*B6</f>
        <v>1.95</v>
      </c>
      <c r="J6" s="6">
        <v>0</v>
      </c>
      <c r="K6" s="6">
        <f t="shared" ref="K6:K23" si="1">B6*Z6-J6</f>
        <v>0</v>
      </c>
      <c r="L6" s="6">
        <f t="shared" ref="L6:L23" si="2">IF(K6&lt;0,0,K6)</f>
        <v>0</v>
      </c>
      <c r="M6" s="6">
        <f t="shared" ref="M6:M23" si="3">L6*I6</f>
        <v>0</v>
      </c>
      <c r="N6" s="6" t="s">
        <v>292</v>
      </c>
      <c r="O6" s="5" t="s">
        <v>421</v>
      </c>
      <c r="Z6" s="1">
        <f>L1</f>
        <v>0</v>
      </c>
    </row>
    <row r="7" spans="1:26">
      <c r="A7" s="35">
        <v>3</v>
      </c>
      <c r="B7" s="35">
        <v>1</v>
      </c>
      <c r="C7" s="11" t="s">
        <v>4</v>
      </c>
      <c r="D7" s="36" t="s">
        <v>6</v>
      </c>
      <c r="E7" s="36" t="s">
        <v>422</v>
      </c>
      <c r="F7" s="36" t="s">
        <v>146</v>
      </c>
      <c r="G7" s="72" t="s">
        <v>423</v>
      </c>
      <c r="H7" s="170">
        <v>2.6</v>
      </c>
      <c r="I7" s="260">
        <f t="shared" si="0"/>
        <v>2.6</v>
      </c>
      <c r="J7" s="6">
        <v>0</v>
      </c>
      <c r="K7" s="6">
        <f t="shared" si="1"/>
        <v>0</v>
      </c>
      <c r="L7" s="6">
        <f t="shared" si="2"/>
        <v>0</v>
      </c>
      <c r="M7" s="6">
        <f t="shared" si="3"/>
        <v>0</v>
      </c>
      <c r="N7" s="6" t="s">
        <v>292</v>
      </c>
      <c r="O7" s="5" t="s">
        <v>347</v>
      </c>
      <c r="Z7" s="1">
        <f>L1</f>
        <v>0</v>
      </c>
    </row>
    <row r="8" spans="1:26">
      <c r="A8" s="35">
        <v>4</v>
      </c>
      <c r="B8" s="35">
        <v>1</v>
      </c>
      <c r="C8" s="72" t="s">
        <v>424</v>
      </c>
      <c r="D8" s="36" t="s">
        <v>425</v>
      </c>
      <c r="E8" s="36" t="s">
        <v>28</v>
      </c>
      <c r="F8" s="36" t="s">
        <v>33</v>
      </c>
      <c r="G8" s="72" t="s">
        <v>423</v>
      </c>
      <c r="H8" s="72">
        <v>2.2000000000000002</v>
      </c>
      <c r="I8" s="260">
        <f t="shared" si="0"/>
        <v>2.2000000000000002</v>
      </c>
      <c r="J8" s="6">
        <v>0</v>
      </c>
      <c r="K8" s="6">
        <f t="shared" si="1"/>
        <v>0</v>
      </c>
      <c r="L8" s="6">
        <f t="shared" si="2"/>
        <v>0</v>
      </c>
      <c r="M8" s="6">
        <f t="shared" si="3"/>
        <v>0</v>
      </c>
      <c r="N8" s="6" t="s">
        <v>292</v>
      </c>
      <c r="O8" s="171" t="s">
        <v>421</v>
      </c>
      <c r="Z8" s="1">
        <f>L1</f>
        <v>0</v>
      </c>
    </row>
    <row r="9" spans="1:26">
      <c r="A9" s="35">
        <v>5</v>
      </c>
      <c r="B9" s="35">
        <v>1</v>
      </c>
      <c r="C9" s="72" t="s">
        <v>426</v>
      </c>
      <c r="D9" s="36" t="s">
        <v>427</v>
      </c>
      <c r="E9" s="36" t="s">
        <v>47</v>
      </c>
      <c r="F9" s="36" t="s">
        <v>53</v>
      </c>
      <c r="G9" s="72" t="s">
        <v>428</v>
      </c>
      <c r="H9" s="72">
        <v>0.08</v>
      </c>
      <c r="I9" s="260">
        <f t="shared" si="0"/>
        <v>0.08</v>
      </c>
      <c r="J9" s="6">
        <v>0</v>
      </c>
      <c r="K9" s="6">
        <f t="shared" si="1"/>
        <v>0</v>
      </c>
      <c r="L9" s="6">
        <f t="shared" si="2"/>
        <v>0</v>
      </c>
      <c r="M9" s="6">
        <f t="shared" si="3"/>
        <v>0</v>
      </c>
      <c r="N9" s="6" t="s">
        <v>292</v>
      </c>
      <c r="O9" s="171" t="s">
        <v>347</v>
      </c>
      <c r="Z9" s="1">
        <f>L1</f>
        <v>0</v>
      </c>
    </row>
    <row r="10" spans="1:26">
      <c r="A10" s="35">
        <v>6</v>
      </c>
      <c r="B10" s="35">
        <v>1</v>
      </c>
      <c r="C10" s="238" t="s">
        <v>429</v>
      </c>
      <c r="D10" s="237" t="s">
        <v>430</v>
      </c>
      <c r="E10" s="36" t="s">
        <v>51</v>
      </c>
      <c r="F10" s="36" t="s">
        <v>49</v>
      </c>
      <c r="G10" s="72" t="s">
        <v>428</v>
      </c>
      <c r="H10" s="72">
        <v>0.08</v>
      </c>
      <c r="I10" s="260">
        <f t="shared" si="0"/>
        <v>0.08</v>
      </c>
      <c r="J10" s="6">
        <v>0</v>
      </c>
      <c r="K10" s="6">
        <f t="shared" si="1"/>
        <v>0</v>
      </c>
      <c r="L10" s="6">
        <f t="shared" si="2"/>
        <v>0</v>
      </c>
      <c r="M10" s="6">
        <f t="shared" si="3"/>
        <v>0</v>
      </c>
      <c r="N10" s="6" t="s">
        <v>292</v>
      </c>
      <c r="O10" s="171" t="s">
        <v>421</v>
      </c>
      <c r="Z10" s="1">
        <f>L1</f>
        <v>0</v>
      </c>
    </row>
    <row r="11" spans="1:26">
      <c r="A11" s="35">
        <v>7</v>
      </c>
      <c r="B11" s="35">
        <v>1</v>
      </c>
      <c r="C11" s="238" t="s">
        <v>344</v>
      </c>
      <c r="D11" s="237" t="s">
        <v>431</v>
      </c>
      <c r="E11" s="36" t="s">
        <v>79</v>
      </c>
      <c r="F11" s="36" t="s">
        <v>49</v>
      </c>
      <c r="G11" s="72" t="s">
        <v>428</v>
      </c>
      <c r="H11" s="72">
        <v>0.2</v>
      </c>
      <c r="I11" s="260">
        <f t="shared" si="0"/>
        <v>0.2</v>
      </c>
      <c r="J11" s="6">
        <v>0</v>
      </c>
      <c r="K11" s="6">
        <f t="shared" si="1"/>
        <v>0</v>
      </c>
      <c r="L11" s="6">
        <f t="shared" si="2"/>
        <v>0</v>
      </c>
      <c r="M11" s="6">
        <f t="shared" si="3"/>
        <v>0</v>
      </c>
      <c r="N11" s="6" t="s">
        <v>292</v>
      </c>
      <c r="O11" s="171" t="s">
        <v>421</v>
      </c>
      <c r="Z11" s="1">
        <f>L1</f>
        <v>0</v>
      </c>
    </row>
    <row r="12" spans="1:26">
      <c r="A12" s="35">
        <v>8</v>
      </c>
      <c r="B12" s="35">
        <v>1</v>
      </c>
      <c r="C12" s="72" t="s">
        <v>432</v>
      </c>
      <c r="D12" s="36" t="s">
        <v>433</v>
      </c>
      <c r="E12" s="36" t="s">
        <v>55</v>
      </c>
      <c r="F12" s="36" t="s">
        <v>49</v>
      </c>
      <c r="G12" s="72" t="s">
        <v>428</v>
      </c>
      <c r="H12" s="72">
        <v>0.06</v>
      </c>
      <c r="I12" s="260">
        <f t="shared" si="0"/>
        <v>0.06</v>
      </c>
      <c r="J12" s="6">
        <v>0</v>
      </c>
      <c r="K12" s="6">
        <f t="shared" si="1"/>
        <v>0</v>
      </c>
      <c r="L12" s="6">
        <f t="shared" si="2"/>
        <v>0</v>
      </c>
      <c r="M12" s="6">
        <f t="shared" si="3"/>
        <v>0</v>
      </c>
      <c r="N12" s="6" t="s">
        <v>292</v>
      </c>
      <c r="O12" s="171" t="s">
        <v>347</v>
      </c>
      <c r="Z12" s="1">
        <f>L1</f>
        <v>0</v>
      </c>
    </row>
    <row r="13" spans="1:26">
      <c r="A13" s="35">
        <v>9</v>
      </c>
      <c r="B13" s="35">
        <v>1</v>
      </c>
      <c r="C13" s="72" t="s">
        <v>434</v>
      </c>
      <c r="D13" s="36" t="s">
        <v>435</v>
      </c>
      <c r="E13" s="36" t="s">
        <v>264</v>
      </c>
      <c r="F13" s="36" t="s">
        <v>88</v>
      </c>
      <c r="G13" s="72"/>
      <c r="H13" s="72">
        <v>9</v>
      </c>
      <c r="I13" s="6">
        <f t="shared" si="0"/>
        <v>9</v>
      </c>
      <c r="J13" s="6">
        <v>0</v>
      </c>
      <c r="K13" s="6">
        <f t="shared" si="1"/>
        <v>0</v>
      </c>
      <c r="L13" s="6">
        <f t="shared" si="2"/>
        <v>0</v>
      </c>
      <c r="M13" s="6">
        <f t="shared" si="3"/>
        <v>0</v>
      </c>
      <c r="N13" s="6" t="s">
        <v>172</v>
      </c>
      <c r="O13" s="171" t="s">
        <v>416</v>
      </c>
      <c r="R13" t="s">
        <v>512</v>
      </c>
      <c r="Z13" s="1">
        <f>L1</f>
        <v>0</v>
      </c>
    </row>
    <row r="14" spans="1:26">
      <c r="A14" s="35">
        <v>10</v>
      </c>
      <c r="B14" s="35">
        <v>1</v>
      </c>
      <c r="C14" s="72" t="s">
        <v>436</v>
      </c>
      <c r="D14" s="36" t="s">
        <v>437</v>
      </c>
      <c r="E14" s="36" t="s">
        <v>84</v>
      </c>
      <c r="F14" s="36" t="s">
        <v>88</v>
      </c>
      <c r="G14" s="72"/>
      <c r="H14" s="72">
        <v>12.5</v>
      </c>
      <c r="I14" s="261">
        <f t="shared" si="0"/>
        <v>12.5</v>
      </c>
      <c r="J14" s="6">
        <v>0</v>
      </c>
      <c r="K14" s="6">
        <f t="shared" si="1"/>
        <v>0</v>
      </c>
      <c r="L14" s="6">
        <f t="shared" si="2"/>
        <v>0</v>
      </c>
      <c r="M14" s="6">
        <f t="shared" si="3"/>
        <v>0</v>
      </c>
      <c r="N14" s="6" t="s">
        <v>185</v>
      </c>
      <c r="O14" s="171" t="s">
        <v>347</v>
      </c>
      <c r="Z14" s="1">
        <f>L1</f>
        <v>0</v>
      </c>
    </row>
    <row r="15" spans="1:26" s="1" customFormat="1">
      <c r="A15" s="35">
        <v>11</v>
      </c>
      <c r="B15" s="35">
        <v>1</v>
      </c>
      <c r="C15" s="72" t="s">
        <v>438</v>
      </c>
      <c r="D15" s="36" t="s">
        <v>439</v>
      </c>
      <c r="E15" s="36" t="s">
        <v>440</v>
      </c>
      <c r="F15" s="172" t="s">
        <v>441</v>
      </c>
      <c r="G15" s="72" t="s">
        <v>415</v>
      </c>
      <c r="H15" s="72">
        <v>0.75</v>
      </c>
      <c r="I15" s="260">
        <f t="shared" si="0"/>
        <v>0.75</v>
      </c>
      <c r="J15" s="6">
        <v>0</v>
      </c>
      <c r="K15" s="6">
        <f t="shared" si="1"/>
        <v>0</v>
      </c>
      <c r="L15" s="6">
        <f t="shared" si="2"/>
        <v>0</v>
      </c>
      <c r="M15" s="6">
        <f t="shared" si="3"/>
        <v>0</v>
      </c>
      <c r="N15" s="6" t="s">
        <v>293</v>
      </c>
      <c r="O15" s="6" t="s">
        <v>416</v>
      </c>
      <c r="R15" s="1" t="s">
        <v>368</v>
      </c>
      <c r="Z15" s="1">
        <f>L1</f>
        <v>0</v>
      </c>
    </row>
    <row r="16" spans="1:26">
      <c r="A16" s="35">
        <v>12</v>
      </c>
      <c r="B16" s="6">
        <v>1</v>
      </c>
      <c r="C16" s="72" t="s">
        <v>442</v>
      </c>
      <c r="D16" s="6" t="s">
        <v>443</v>
      </c>
      <c r="E16" s="6"/>
      <c r="F16" s="6"/>
      <c r="G16" s="6"/>
      <c r="H16" s="229">
        <v>1.5</v>
      </c>
      <c r="I16" s="264">
        <f t="shared" si="0"/>
        <v>1.5</v>
      </c>
      <c r="J16" s="6">
        <v>0</v>
      </c>
      <c r="K16" s="6">
        <f t="shared" si="1"/>
        <v>0</v>
      </c>
      <c r="L16" s="6">
        <f t="shared" si="2"/>
        <v>0</v>
      </c>
      <c r="M16" s="6">
        <f t="shared" si="3"/>
        <v>0</v>
      </c>
      <c r="N16" s="6" t="s">
        <v>234</v>
      </c>
      <c r="O16" s="171" t="s">
        <v>416</v>
      </c>
      <c r="R16" s="1" t="s">
        <v>368</v>
      </c>
      <c r="Z16" s="1">
        <f>L1</f>
        <v>0</v>
      </c>
    </row>
    <row r="17" spans="1:26">
      <c r="A17" s="35">
        <v>13</v>
      </c>
      <c r="B17" s="6">
        <v>1</v>
      </c>
      <c r="C17" s="6" t="s">
        <v>472</v>
      </c>
      <c r="D17" s="227" t="s">
        <v>473</v>
      </c>
      <c r="E17" s="6" t="s">
        <v>474</v>
      </c>
      <c r="F17" s="6" t="s">
        <v>475</v>
      </c>
      <c r="G17" s="6" t="s">
        <v>393</v>
      </c>
      <c r="H17" s="229">
        <v>1.4</v>
      </c>
      <c r="I17" s="264">
        <f t="shared" si="0"/>
        <v>1.4</v>
      </c>
      <c r="J17" s="6">
        <v>0</v>
      </c>
      <c r="K17" s="6">
        <f t="shared" si="1"/>
        <v>0</v>
      </c>
      <c r="L17" s="6">
        <f t="shared" si="2"/>
        <v>0</v>
      </c>
      <c r="M17" s="6">
        <f t="shared" si="3"/>
        <v>0</v>
      </c>
      <c r="N17" s="6"/>
      <c r="O17" s="171"/>
      <c r="Z17" s="1">
        <f>L1</f>
        <v>0</v>
      </c>
    </row>
    <row r="18" spans="1:26">
      <c r="A18" s="35">
        <v>14</v>
      </c>
      <c r="B18" s="35">
        <v>1</v>
      </c>
      <c r="C18" s="6" t="s">
        <v>444</v>
      </c>
      <c r="D18" s="72" t="s">
        <v>445</v>
      </c>
      <c r="E18" s="6"/>
      <c r="F18" s="6"/>
      <c r="G18" s="6" t="s">
        <v>446</v>
      </c>
      <c r="H18" s="229">
        <v>6</v>
      </c>
      <c r="I18" s="267">
        <f t="shared" si="0"/>
        <v>6</v>
      </c>
      <c r="J18" s="6">
        <v>0</v>
      </c>
      <c r="K18" s="6">
        <f t="shared" si="1"/>
        <v>0</v>
      </c>
      <c r="L18" s="6">
        <f t="shared" si="2"/>
        <v>0</v>
      </c>
      <c r="M18" s="6">
        <f t="shared" si="3"/>
        <v>0</v>
      </c>
      <c r="N18" s="6" t="s">
        <v>446</v>
      </c>
      <c r="O18" s="171"/>
      <c r="Z18" s="1">
        <f>L1</f>
        <v>0</v>
      </c>
    </row>
    <row r="19" spans="1:26">
      <c r="A19" s="35">
        <v>15</v>
      </c>
      <c r="B19" s="35">
        <v>3</v>
      </c>
      <c r="C19" s="6" t="s">
        <v>447</v>
      </c>
      <c r="D19" s="92" t="s">
        <v>355</v>
      </c>
      <c r="E19" s="6" t="s">
        <v>448</v>
      </c>
      <c r="F19" s="6" t="s">
        <v>449</v>
      </c>
      <c r="G19" s="6" t="s">
        <v>450</v>
      </c>
      <c r="H19" s="229">
        <v>0.3</v>
      </c>
      <c r="I19" s="265">
        <f t="shared" si="0"/>
        <v>0.89999999999999991</v>
      </c>
      <c r="J19" s="6">
        <v>0</v>
      </c>
      <c r="K19" s="6">
        <f t="shared" si="1"/>
        <v>0</v>
      </c>
      <c r="L19" s="6">
        <f t="shared" si="2"/>
        <v>0</v>
      </c>
      <c r="M19" s="6">
        <f t="shared" si="3"/>
        <v>0</v>
      </c>
      <c r="N19" s="11" t="s">
        <v>316</v>
      </c>
      <c r="O19" s="171"/>
      <c r="Z19" s="1">
        <f>L1</f>
        <v>0</v>
      </c>
    </row>
    <row r="20" spans="1:26">
      <c r="A20" s="35">
        <v>16</v>
      </c>
      <c r="B20" s="6">
        <v>1</v>
      </c>
      <c r="C20" s="6" t="s">
        <v>451</v>
      </c>
      <c r="D20" s="92" t="s">
        <v>356</v>
      </c>
      <c r="E20" s="6" t="s">
        <v>452</v>
      </c>
      <c r="F20" s="6" t="s">
        <v>449</v>
      </c>
      <c r="G20" s="173" t="s">
        <v>450</v>
      </c>
      <c r="H20" s="229">
        <v>0.3</v>
      </c>
      <c r="I20" s="265">
        <f t="shared" si="0"/>
        <v>0.3</v>
      </c>
      <c r="J20" s="6">
        <v>0</v>
      </c>
      <c r="K20" s="6">
        <f t="shared" si="1"/>
        <v>0</v>
      </c>
      <c r="L20" s="6">
        <f t="shared" si="2"/>
        <v>0</v>
      </c>
      <c r="M20" s="6">
        <f t="shared" si="3"/>
        <v>0</v>
      </c>
      <c r="N20" s="11" t="s">
        <v>316</v>
      </c>
      <c r="O20" s="171"/>
      <c r="Z20" s="1">
        <f>L1</f>
        <v>0</v>
      </c>
    </row>
    <row r="21" spans="1:26">
      <c r="A21" s="35">
        <v>17</v>
      </c>
      <c r="B21" s="6">
        <v>1</v>
      </c>
      <c r="C21" s="72" t="s">
        <v>351</v>
      </c>
      <c r="D21" s="92" t="s">
        <v>350</v>
      </c>
      <c r="E21" s="6"/>
      <c r="F21" s="6"/>
      <c r="G21" s="6"/>
      <c r="H21" s="72">
        <v>1.25</v>
      </c>
      <c r="I21" s="261">
        <f t="shared" si="0"/>
        <v>1.25</v>
      </c>
      <c r="J21" s="6">
        <v>0</v>
      </c>
      <c r="K21" s="6">
        <f t="shared" si="1"/>
        <v>0</v>
      </c>
      <c r="L21" s="6">
        <f t="shared" si="2"/>
        <v>0</v>
      </c>
      <c r="M21" s="6">
        <f t="shared" si="3"/>
        <v>0</v>
      </c>
      <c r="N21" s="6"/>
      <c r="O21" s="171"/>
      <c r="Z21" s="1">
        <f>L1</f>
        <v>0</v>
      </c>
    </row>
    <row r="22" spans="1:26">
      <c r="A22" s="35">
        <v>18</v>
      </c>
      <c r="B22" s="6">
        <v>1</v>
      </c>
      <c r="C22" s="72" t="s">
        <v>349</v>
      </c>
      <c r="D22" s="92" t="s">
        <v>348</v>
      </c>
      <c r="E22" s="6"/>
      <c r="F22" s="6"/>
      <c r="G22" s="6"/>
      <c r="H22" s="228">
        <v>0.3</v>
      </c>
      <c r="I22" s="266">
        <f t="shared" si="0"/>
        <v>0.3</v>
      </c>
      <c r="J22" s="6">
        <v>0</v>
      </c>
      <c r="K22" s="6">
        <f t="shared" si="1"/>
        <v>0</v>
      </c>
      <c r="L22" s="6">
        <f t="shared" si="2"/>
        <v>0</v>
      </c>
      <c r="M22" s="6">
        <f t="shared" si="3"/>
        <v>0</v>
      </c>
      <c r="N22" s="6"/>
      <c r="O22" s="171"/>
      <c r="Z22" s="1">
        <f>L1</f>
        <v>0</v>
      </c>
    </row>
    <row r="23" spans="1:26">
      <c r="A23" s="35">
        <v>19</v>
      </c>
      <c r="B23" s="6">
        <v>1</v>
      </c>
      <c r="C23" s="72"/>
      <c r="D23" s="92" t="s">
        <v>196</v>
      </c>
      <c r="E23" s="6"/>
      <c r="F23" s="6"/>
      <c r="G23" s="6"/>
      <c r="H23" s="228">
        <v>5</v>
      </c>
      <c r="I23" s="264">
        <f t="shared" si="0"/>
        <v>5</v>
      </c>
      <c r="J23" s="6">
        <v>0</v>
      </c>
      <c r="K23" s="6">
        <f t="shared" si="1"/>
        <v>0</v>
      </c>
      <c r="L23" s="6">
        <f t="shared" si="2"/>
        <v>0</v>
      </c>
      <c r="M23" s="6">
        <f t="shared" si="3"/>
        <v>0</v>
      </c>
      <c r="N23" s="6" t="s">
        <v>235</v>
      </c>
      <c r="O23" s="171"/>
      <c r="Z23" s="1">
        <f>L1</f>
        <v>0</v>
      </c>
    </row>
    <row r="24" spans="1:26" ht="15.75" thickBot="1">
      <c r="C24" s="1"/>
      <c r="G24" s="174"/>
      <c r="H24" s="225" t="s">
        <v>409</v>
      </c>
      <c r="I24" s="226">
        <f>SUM(I5:I23)</f>
        <v>48.769999999999989</v>
      </c>
      <c r="J24" s="222"/>
      <c r="K24" s="222"/>
      <c r="L24" s="222"/>
      <c r="M24" s="222">
        <f>SUM(M5:M23)</f>
        <v>0</v>
      </c>
      <c r="N24" s="1"/>
    </row>
    <row r="25" spans="1:26">
      <c r="C25" s="1"/>
      <c r="G25" s="1"/>
      <c r="N25" s="1"/>
    </row>
    <row r="27" spans="1:26" ht="15.75" thickBot="1"/>
    <row r="28" spans="1:26">
      <c r="C28" s="249" t="s">
        <v>509</v>
      </c>
      <c r="D28" s="255">
        <f>I22+I21+I14</f>
        <v>14.05</v>
      </c>
      <c r="F28" s="249" t="s">
        <v>509</v>
      </c>
      <c r="G28" s="255">
        <f>M22+M21+M14</f>
        <v>0</v>
      </c>
    </row>
    <row r="29" spans="1:26">
      <c r="C29" s="250" t="s">
        <v>492</v>
      </c>
      <c r="D29" s="251">
        <v>0</v>
      </c>
      <c r="F29" s="250" t="s">
        <v>492</v>
      </c>
      <c r="G29" s="251">
        <v>0</v>
      </c>
    </row>
    <row r="30" spans="1:26">
      <c r="C30" s="250" t="s">
        <v>493</v>
      </c>
      <c r="D30" s="253">
        <f>I18</f>
        <v>6</v>
      </c>
      <c r="F30" s="250" t="s">
        <v>493</v>
      </c>
      <c r="G30" s="253">
        <f>M18</f>
        <v>0</v>
      </c>
    </row>
    <row r="31" spans="1:26">
      <c r="C31" s="250" t="s">
        <v>490</v>
      </c>
      <c r="D31" s="253">
        <f>I19+I20</f>
        <v>1.2</v>
      </c>
      <c r="F31" s="250" t="s">
        <v>490</v>
      </c>
      <c r="G31" s="253">
        <f>M19+M20</f>
        <v>0</v>
      </c>
    </row>
    <row r="32" spans="1:26">
      <c r="C32" s="250" t="s">
        <v>494</v>
      </c>
      <c r="D32" s="253">
        <f>I5+I6+I7+I8+I9+I10+I11+I12+I15+I16+I17+I23</f>
        <v>18.52</v>
      </c>
      <c r="F32" s="250" t="s">
        <v>494</v>
      </c>
      <c r="G32" s="253">
        <f>M5+M6+M7+M8+M9+M10+M11+M12+M15+M16+M17+M23</f>
        <v>0</v>
      </c>
    </row>
    <row r="33" spans="3:7" ht="15.75" thickBot="1">
      <c r="C33" s="252" t="s">
        <v>495</v>
      </c>
      <c r="D33" s="254">
        <f>I13</f>
        <v>9</v>
      </c>
      <c r="F33" s="252" t="s">
        <v>495</v>
      </c>
      <c r="G33" s="254">
        <f>M13</f>
        <v>0</v>
      </c>
    </row>
    <row r="34" spans="3:7">
      <c r="D34" s="198">
        <f>SUM(D28:D33)</f>
        <v>48.769999999999996</v>
      </c>
      <c r="G34" s="198">
        <f>SUM(G28:G33)</f>
        <v>0</v>
      </c>
    </row>
  </sheetData>
  <mergeCells count="4">
    <mergeCell ref="A1:B1"/>
    <mergeCell ref="C1:D1"/>
    <mergeCell ref="A2:O3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54"/>
  <sheetViews>
    <sheetView topLeftCell="D34" workbookViewId="0">
      <selection activeCell="N1" sqref="N1:Q1"/>
    </sheetView>
  </sheetViews>
  <sheetFormatPr defaultRowHeight="15"/>
  <cols>
    <col min="2" max="2" width="18.7109375" customWidth="1"/>
    <col min="3" max="3" width="15.7109375" customWidth="1"/>
    <col min="4" max="4" width="12.7109375" customWidth="1"/>
    <col min="5" max="5" width="32.85546875" customWidth="1"/>
    <col min="6" max="6" width="35.85546875" hidden="1" customWidth="1"/>
    <col min="7" max="7" width="17.5703125" hidden="1" customWidth="1"/>
    <col min="8" max="8" width="23.140625" hidden="1" customWidth="1"/>
    <col min="9" max="9" width="24.28515625" hidden="1" customWidth="1"/>
    <col min="10" max="12" width="12.7109375" customWidth="1"/>
    <col min="13" max="13" width="16.28515625" bestFit="1" customWidth="1"/>
    <col min="14" max="14" width="18.140625" bestFit="1" customWidth="1"/>
    <col min="15" max="15" width="11" style="75" customWidth="1"/>
    <col min="16" max="16" width="17.7109375" customWidth="1"/>
    <col min="17" max="17" width="20" customWidth="1"/>
    <col min="18" max="18" width="20" bestFit="1" customWidth="1"/>
    <col min="19" max="19" width="15" bestFit="1" customWidth="1"/>
  </cols>
  <sheetData>
    <row r="1" spans="1:28" ht="16.5" thickBot="1">
      <c r="A1" s="348" t="s">
        <v>138</v>
      </c>
      <c r="B1" s="348"/>
      <c r="C1" s="349" t="s">
        <v>305</v>
      </c>
      <c r="D1" s="349"/>
      <c r="E1" s="242" t="s">
        <v>481</v>
      </c>
      <c r="F1" s="243"/>
      <c r="G1" s="244"/>
      <c r="H1" s="8"/>
      <c r="I1" s="8"/>
      <c r="J1" s="73"/>
      <c r="K1" s="73"/>
      <c r="L1" s="73"/>
      <c r="M1" s="73"/>
      <c r="N1" s="395" t="s">
        <v>514</v>
      </c>
      <c r="O1" s="396"/>
      <c r="P1" s="333"/>
      <c r="Q1" s="327">
        <f>'Detail-Planner'!E10</f>
        <v>1000</v>
      </c>
    </row>
    <row r="2" spans="1:28" ht="15.75" thickBot="1">
      <c r="A2" s="8"/>
      <c r="B2" s="8"/>
      <c r="C2" s="8"/>
      <c r="D2" s="8"/>
      <c r="E2" s="239"/>
      <c r="F2" s="240"/>
      <c r="G2" s="241"/>
      <c r="H2" s="8"/>
      <c r="I2" s="8"/>
      <c r="J2" s="73"/>
      <c r="K2" s="73"/>
      <c r="L2" s="73"/>
      <c r="M2" s="73"/>
      <c r="N2" s="73"/>
      <c r="O2" s="73"/>
    </row>
    <row r="3" spans="1:28">
      <c r="A3" s="350" t="s">
        <v>391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28" ht="15.75" thickBot="1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28">
      <c r="A5" s="87" t="s">
        <v>0</v>
      </c>
      <c r="B5" s="88" t="s">
        <v>139</v>
      </c>
      <c r="C5" s="89" t="s">
        <v>1</v>
      </c>
      <c r="D5" s="89" t="s">
        <v>2</v>
      </c>
      <c r="E5" s="89" t="s">
        <v>3</v>
      </c>
      <c r="F5" s="89" t="s">
        <v>140</v>
      </c>
      <c r="G5" s="89" t="s">
        <v>141</v>
      </c>
      <c r="H5" s="89" t="s">
        <v>142</v>
      </c>
      <c r="I5" s="89" t="s">
        <v>143</v>
      </c>
      <c r="J5" s="86" t="s">
        <v>470</v>
      </c>
      <c r="K5" s="86" t="s">
        <v>476</v>
      </c>
      <c r="L5" s="145" t="s">
        <v>347</v>
      </c>
      <c r="M5" s="399" t="s">
        <v>517</v>
      </c>
      <c r="N5" s="399" t="s">
        <v>514</v>
      </c>
      <c r="O5" s="90" t="s">
        <v>144</v>
      </c>
      <c r="P5" s="151" t="s">
        <v>360</v>
      </c>
      <c r="Q5" s="151" t="s">
        <v>361</v>
      </c>
      <c r="R5" s="312" t="s">
        <v>511</v>
      </c>
      <c r="S5" s="312" t="s">
        <v>471</v>
      </c>
    </row>
    <row r="6" spans="1:28">
      <c r="A6" s="15">
        <v>1</v>
      </c>
      <c r="B6" s="84" t="s">
        <v>317</v>
      </c>
      <c r="C6" s="35">
        <v>4</v>
      </c>
      <c r="D6" s="71" t="s">
        <v>255</v>
      </c>
      <c r="E6" s="36" t="s">
        <v>236</v>
      </c>
      <c r="F6" s="72" t="s">
        <v>265</v>
      </c>
      <c r="G6" s="77">
        <v>0.1</v>
      </c>
      <c r="H6" s="36" t="s">
        <v>282</v>
      </c>
      <c r="I6" s="72" t="s">
        <v>292</v>
      </c>
      <c r="J6" s="74">
        <v>0.35</v>
      </c>
      <c r="K6" s="74">
        <f>Table14678[[#This Row],[Unit Cost]]*Table14678[[#This Row],[Quantity]]</f>
        <v>1.4</v>
      </c>
      <c r="L6" s="74">
        <v>0</v>
      </c>
      <c r="M6" s="74">
        <f>Table14678[[#This Row],[Quantity]]*AB6-Table14678[[#This Row],[STOCK]]</f>
        <v>4000</v>
      </c>
      <c r="N6" s="74">
        <f>IF(Table14678[[#This Row],[Interim Value]]&lt;0,0,Table14678[[#This Row],[Interim Value]])</f>
        <v>4000</v>
      </c>
      <c r="O6" s="105">
        <f>Table14678[[#This Row],[Kitting Quantity]]*Table14678[[#This Row],[Total]]</f>
        <v>5600</v>
      </c>
      <c r="P6" s="11" t="s">
        <v>292</v>
      </c>
      <c r="Q6" s="11" t="s">
        <v>370</v>
      </c>
      <c r="R6" s="310">
        <v>0</v>
      </c>
      <c r="S6" s="310">
        <f>Table14678[[#This Row],[shortage for 5k kit]]*Table14678[[#This Row],[Total]]</f>
        <v>0</v>
      </c>
      <c r="AB6">
        <f>Q1</f>
        <v>1000</v>
      </c>
    </row>
    <row r="7" spans="1:28" ht="15.75" thickBot="1">
      <c r="A7" s="15">
        <v>2</v>
      </c>
      <c r="B7" s="166" t="s">
        <v>401</v>
      </c>
      <c r="C7" s="69">
        <v>2</v>
      </c>
      <c r="D7" s="70" t="s">
        <v>256</v>
      </c>
      <c r="E7" s="161" t="s">
        <v>399</v>
      </c>
      <c r="F7" s="162" t="s">
        <v>400</v>
      </c>
      <c r="G7" s="76">
        <v>0.05</v>
      </c>
      <c r="H7" s="163" t="s">
        <v>393</v>
      </c>
      <c r="I7" s="72" t="s">
        <v>292</v>
      </c>
      <c r="J7" s="74">
        <v>2.75</v>
      </c>
      <c r="K7" s="74">
        <f>Table14678[[#This Row],[Unit Cost]]*Table14678[[#This Row],[Quantity]]</f>
        <v>5.5</v>
      </c>
      <c r="L7" s="74">
        <v>0</v>
      </c>
      <c r="M7" s="74">
        <f>Table14678[[#This Row],[Quantity]]*AB7-Table14678[[#This Row],[STOCK]]</f>
        <v>2000</v>
      </c>
      <c r="N7" s="74">
        <f>IF(Table14678[[#This Row],[Interim Value]]&lt;0,0,Table14678[[#This Row],[Interim Value]])</f>
        <v>2000</v>
      </c>
      <c r="O7" s="105">
        <f>Table14678[[#This Row],[Kitting Quantity]]*Table14678[[#This Row],[Total]]</f>
        <v>11000</v>
      </c>
      <c r="P7" s="11" t="s">
        <v>292</v>
      </c>
      <c r="Q7" s="11" t="s">
        <v>370</v>
      </c>
      <c r="R7" s="310">
        <v>0</v>
      </c>
      <c r="S7" s="310">
        <f>Table14678[[#This Row],[shortage for 5k kit]]*Table14678[[#This Row],[Total]]</f>
        <v>0</v>
      </c>
      <c r="AB7">
        <f>Q1</f>
        <v>1000</v>
      </c>
    </row>
    <row r="8" spans="1:28">
      <c r="A8" s="15">
        <v>3</v>
      </c>
      <c r="B8" s="11" t="s">
        <v>12</v>
      </c>
      <c r="C8" s="35">
        <v>1</v>
      </c>
      <c r="D8" s="36" t="s">
        <v>17</v>
      </c>
      <c r="E8" s="36" t="s">
        <v>149</v>
      </c>
      <c r="F8" s="36" t="s">
        <v>266</v>
      </c>
      <c r="G8" s="77">
        <v>0.05</v>
      </c>
      <c r="H8" s="36" t="s">
        <v>283</v>
      </c>
      <c r="I8" s="72" t="s">
        <v>293</v>
      </c>
      <c r="J8" s="74">
        <v>0.6</v>
      </c>
      <c r="K8" s="74">
        <f>Table14678[[#This Row],[Unit Cost]]*Table14678[[#This Row],[Quantity]]</f>
        <v>0.6</v>
      </c>
      <c r="L8" s="74">
        <v>0</v>
      </c>
      <c r="M8" s="74">
        <f>Table14678[[#This Row],[Quantity]]*AB8-Table14678[[#This Row],[STOCK]]</f>
        <v>1000</v>
      </c>
      <c r="N8" s="74">
        <f>IF(Table14678[[#This Row],[Interim Value]]&lt;0,0,Table14678[[#This Row],[Interim Value]])</f>
        <v>1000</v>
      </c>
      <c r="O8" s="105">
        <f>Table14678[[#This Row],[Kitting Quantity]]*Table14678[[#This Row],[Total]]</f>
        <v>600</v>
      </c>
      <c r="P8" s="11" t="s">
        <v>382</v>
      </c>
      <c r="Q8" s="11" t="s">
        <v>370</v>
      </c>
      <c r="R8" s="310">
        <v>0</v>
      </c>
      <c r="S8" s="310">
        <f>Table14678[[#This Row],[shortage for 5k kit]]*Table14678[[#This Row],[Total]]</f>
        <v>0</v>
      </c>
      <c r="AB8">
        <f>Q1</f>
        <v>1000</v>
      </c>
    </row>
    <row r="9" spans="1:28">
      <c r="A9" s="15">
        <v>4</v>
      </c>
      <c r="B9" s="84" t="s">
        <v>318</v>
      </c>
      <c r="C9" s="35">
        <v>1</v>
      </c>
      <c r="D9" s="36" t="s">
        <v>24</v>
      </c>
      <c r="E9" s="71" t="s">
        <v>237</v>
      </c>
      <c r="F9" s="36" t="s">
        <v>267</v>
      </c>
      <c r="G9" s="77">
        <v>0.1</v>
      </c>
      <c r="H9" s="36" t="s">
        <v>284</v>
      </c>
      <c r="I9" s="72" t="s">
        <v>293</v>
      </c>
      <c r="J9" s="74">
        <v>0.73</v>
      </c>
      <c r="K9" s="74">
        <f>Table14678[[#This Row],[Unit Cost]]*Table14678[[#This Row],[Quantity]]</f>
        <v>0.73</v>
      </c>
      <c r="L9" s="74">
        <v>10000</v>
      </c>
      <c r="M9" s="74">
        <f>Table14678[[#This Row],[Quantity]]*AB9-Table14678[[#This Row],[STOCK]]</f>
        <v>-9000</v>
      </c>
      <c r="N9" s="74">
        <f>IF(Table14678[[#This Row],[Interim Value]]&lt;0,0,Table14678[[#This Row],[Interim Value]])</f>
        <v>0</v>
      </c>
      <c r="O9" s="105">
        <f>Table14678[[#This Row],[Kitting Quantity]]*Table14678[[#This Row],[Total]]</f>
        <v>0</v>
      </c>
      <c r="P9" s="11" t="s">
        <v>383</v>
      </c>
      <c r="Q9" s="11" t="s">
        <v>373</v>
      </c>
      <c r="R9" s="310">
        <v>0</v>
      </c>
      <c r="S9" s="310">
        <f>Table14678[[#This Row],[shortage for 5k kit]]*Table14678[[#This Row],[Total]]</f>
        <v>0</v>
      </c>
      <c r="AB9">
        <f>Q1</f>
        <v>1000</v>
      </c>
    </row>
    <row r="10" spans="1:28">
      <c r="A10" s="15">
        <v>5</v>
      </c>
      <c r="B10" s="84" t="s">
        <v>319</v>
      </c>
      <c r="C10" s="35">
        <v>1</v>
      </c>
      <c r="D10" s="36" t="s">
        <v>97</v>
      </c>
      <c r="E10" s="36" t="s">
        <v>238</v>
      </c>
      <c r="F10" s="36" t="s">
        <v>268</v>
      </c>
      <c r="G10" s="77">
        <v>0.05</v>
      </c>
      <c r="H10" s="36" t="s">
        <v>283</v>
      </c>
      <c r="I10" s="72" t="s">
        <v>292</v>
      </c>
      <c r="J10" s="74">
        <v>0.5</v>
      </c>
      <c r="K10" s="74">
        <f>Table14678[[#This Row],[Unit Cost]]*Table14678[[#This Row],[Quantity]]</f>
        <v>0.5</v>
      </c>
      <c r="L10" s="74">
        <v>0</v>
      </c>
      <c r="M10" s="74">
        <f>Table14678[[#This Row],[Quantity]]*AB10-Table14678[[#This Row],[STOCK]]</f>
        <v>1000</v>
      </c>
      <c r="N10" s="74">
        <f>IF(Table14678[[#This Row],[Interim Value]]&lt;0,0,Table14678[[#This Row],[Interim Value]])</f>
        <v>1000</v>
      </c>
      <c r="O10" s="105">
        <f>Table14678[[#This Row],[Kitting Quantity]]*Table14678[[#This Row],[Total]]</f>
        <v>500</v>
      </c>
      <c r="P10" s="11" t="s">
        <v>292</v>
      </c>
      <c r="Q10" s="11" t="s">
        <v>370</v>
      </c>
      <c r="R10" s="310">
        <v>0</v>
      </c>
      <c r="S10" s="310">
        <f>Table14678[[#This Row],[shortage for 5k kit]]*Table14678[[#This Row],[Total]]</f>
        <v>0</v>
      </c>
      <c r="AB10">
        <f>Q1</f>
        <v>1000</v>
      </c>
    </row>
    <row r="11" spans="1:28">
      <c r="A11" s="15">
        <v>6</v>
      </c>
      <c r="B11" s="84" t="s">
        <v>19</v>
      </c>
      <c r="C11" s="35">
        <v>1</v>
      </c>
      <c r="D11" s="36" t="s">
        <v>95</v>
      </c>
      <c r="E11" s="36" t="s">
        <v>239</v>
      </c>
      <c r="F11" s="71" t="s">
        <v>269</v>
      </c>
      <c r="G11" s="77">
        <v>0.05</v>
      </c>
      <c r="H11" s="36" t="s">
        <v>284</v>
      </c>
      <c r="I11" s="72" t="s">
        <v>293</v>
      </c>
      <c r="J11" s="74">
        <v>0.63</v>
      </c>
      <c r="K11" s="74">
        <f>Table14678[[#This Row],[Unit Cost]]*Table14678[[#This Row],[Quantity]]</f>
        <v>0.63</v>
      </c>
      <c r="L11" s="74">
        <v>0</v>
      </c>
      <c r="M11" s="74">
        <f>Table14678[[#This Row],[Quantity]]*AB11-Table14678[[#This Row],[STOCK]]</f>
        <v>1000</v>
      </c>
      <c r="N11" s="74">
        <f>IF(Table14678[[#This Row],[Interim Value]]&lt;0,0,Table14678[[#This Row],[Interim Value]])</f>
        <v>1000</v>
      </c>
      <c r="O11" s="105">
        <f>Table14678[[#This Row],[Kitting Quantity]]*Table14678[[#This Row],[Total]]</f>
        <v>630</v>
      </c>
      <c r="P11" s="11" t="s">
        <v>383</v>
      </c>
      <c r="Q11" s="11" t="s">
        <v>373</v>
      </c>
      <c r="R11" s="310">
        <v>0</v>
      </c>
      <c r="S11" s="310">
        <f>Table14678[[#This Row],[shortage for 5k kit]]*Table14678[[#This Row],[Total]]</f>
        <v>0</v>
      </c>
      <c r="AB11">
        <f>Q1</f>
        <v>1000</v>
      </c>
    </row>
    <row r="12" spans="1:28">
      <c r="A12" s="15">
        <v>7</v>
      </c>
      <c r="B12" s="72" t="s">
        <v>342</v>
      </c>
      <c r="C12" s="35">
        <v>1</v>
      </c>
      <c r="D12" s="36" t="s">
        <v>20</v>
      </c>
      <c r="E12" s="68" t="s">
        <v>306</v>
      </c>
      <c r="F12" s="71" t="s">
        <v>270</v>
      </c>
      <c r="G12" s="77">
        <v>0.1</v>
      </c>
      <c r="H12" s="36" t="s">
        <v>284</v>
      </c>
      <c r="I12" s="72" t="s">
        <v>293</v>
      </c>
      <c r="J12" s="74">
        <v>2.95</v>
      </c>
      <c r="K12" s="74">
        <f>Table14678[[#This Row],[Unit Cost]]*Table14678[[#This Row],[Quantity]]</f>
        <v>2.95</v>
      </c>
      <c r="L12" s="74">
        <v>2996</v>
      </c>
      <c r="M12" s="74">
        <f>Table14678[[#This Row],[Quantity]]*AB12-Table14678[[#This Row],[STOCK]]</f>
        <v>-1996</v>
      </c>
      <c r="N12" s="74">
        <f>IF(Table14678[[#This Row],[Interim Value]]&lt;0,0,Table14678[[#This Row],[Interim Value]])</f>
        <v>0</v>
      </c>
      <c r="O12" s="105">
        <f>Table14678[[#This Row],[Kitting Quantity]]*Table14678[[#This Row],[Total]]</f>
        <v>0</v>
      </c>
      <c r="P12" s="11" t="s">
        <v>383</v>
      </c>
      <c r="Q12" s="11" t="s">
        <v>373</v>
      </c>
      <c r="R12" s="310">
        <v>0</v>
      </c>
      <c r="S12" s="310">
        <f>Table14678[[#This Row],[shortage for 5k kit]]*Table14678[[#This Row],[Total]]</f>
        <v>0</v>
      </c>
      <c r="AB12">
        <f>Q1</f>
        <v>1000</v>
      </c>
    </row>
    <row r="13" spans="1:28">
      <c r="A13" s="15">
        <v>8</v>
      </c>
      <c r="B13" s="84" t="s">
        <v>38</v>
      </c>
      <c r="C13" s="35">
        <v>2</v>
      </c>
      <c r="D13" s="36" t="s">
        <v>257</v>
      </c>
      <c r="E13" s="36" t="s">
        <v>241</v>
      </c>
      <c r="F13" s="36" t="s">
        <v>271</v>
      </c>
      <c r="G13" s="72"/>
      <c r="H13" s="36" t="s">
        <v>285</v>
      </c>
      <c r="I13" s="72" t="s">
        <v>292</v>
      </c>
      <c r="J13" s="149">
        <v>3</v>
      </c>
      <c r="K13" s="149">
        <f>Table14678[[#This Row],[Unit Cost]]*Table14678[[#This Row],[Quantity]]</f>
        <v>6</v>
      </c>
      <c r="L13" s="74">
        <v>0</v>
      </c>
      <c r="M13" s="74">
        <f>Table14678[[#This Row],[Quantity]]*AB13-Table14678[[#This Row],[STOCK]]</f>
        <v>2000</v>
      </c>
      <c r="N13" s="74">
        <f>IF(Table14678[[#This Row],[Interim Value]]&lt;0,0,Table14678[[#This Row],[Interim Value]])</f>
        <v>2000</v>
      </c>
      <c r="O13" s="105">
        <f>Table14678[[#This Row],[Kitting Quantity]]*Table14678[[#This Row],[Total]]</f>
        <v>12000</v>
      </c>
      <c r="P13" s="11" t="s">
        <v>292</v>
      </c>
      <c r="Q13" s="11" t="s">
        <v>370</v>
      </c>
      <c r="R13" s="310">
        <v>0</v>
      </c>
      <c r="S13" s="310">
        <f>Table14678[[#This Row],[shortage for 5k kit]]*Table14678[[#This Row],[Total]]</f>
        <v>0</v>
      </c>
      <c r="AB13">
        <f>Q1</f>
        <v>1000</v>
      </c>
    </row>
    <row r="14" spans="1:28">
      <c r="A14" s="15">
        <v>9</v>
      </c>
      <c r="B14" s="72" t="s">
        <v>343</v>
      </c>
      <c r="C14" s="35">
        <v>1</v>
      </c>
      <c r="D14" s="36" t="s">
        <v>87</v>
      </c>
      <c r="E14" s="31" t="s">
        <v>307</v>
      </c>
      <c r="F14" s="71" t="s">
        <v>272</v>
      </c>
      <c r="G14" s="77">
        <v>0.1</v>
      </c>
      <c r="H14" s="36" t="s">
        <v>286</v>
      </c>
      <c r="I14" s="72" t="s">
        <v>293</v>
      </c>
      <c r="J14" s="74">
        <v>3.08</v>
      </c>
      <c r="K14" s="74">
        <f>Table14678[[#This Row],[Unit Cost]]*Table14678[[#This Row],[Quantity]]</f>
        <v>3.08</v>
      </c>
      <c r="L14" s="74">
        <v>5990</v>
      </c>
      <c r="M14" s="74">
        <f>Table14678[[#This Row],[Quantity]]*AB14-Table14678[[#This Row],[STOCK]]</f>
        <v>-4990</v>
      </c>
      <c r="N14" s="74">
        <f>IF(Table14678[[#This Row],[Interim Value]]&lt;0,0,Table14678[[#This Row],[Interim Value]])</f>
        <v>0</v>
      </c>
      <c r="O14" s="105">
        <f>Table14678[[#This Row],[Kitting Quantity]]*Table14678[[#This Row],[Total]]</f>
        <v>0</v>
      </c>
      <c r="P14" s="11" t="s">
        <v>292</v>
      </c>
      <c r="Q14" s="11" t="s">
        <v>370</v>
      </c>
      <c r="R14" s="310">
        <v>0</v>
      </c>
      <c r="S14" s="310">
        <f>Table14678[[#This Row],[shortage for 5k kit]]*Table14678[[#This Row],[Total]]</f>
        <v>0</v>
      </c>
      <c r="AB14">
        <f>Q1</f>
        <v>1000</v>
      </c>
    </row>
    <row r="15" spans="1:28">
      <c r="A15" s="15">
        <v>10</v>
      </c>
      <c r="B15" s="84" t="s">
        <v>322</v>
      </c>
      <c r="C15" s="35">
        <v>1</v>
      </c>
      <c r="D15" s="36" t="s">
        <v>100</v>
      </c>
      <c r="E15" s="36" t="s">
        <v>243</v>
      </c>
      <c r="F15" s="71" t="s">
        <v>273</v>
      </c>
      <c r="G15" s="77"/>
      <c r="H15" s="36"/>
      <c r="I15" s="72" t="s">
        <v>293</v>
      </c>
      <c r="J15" s="74">
        <v>1.75</v>
      </c>
      <c r="K15" s="74">
        <f>Table14678[[#This Row],[Unit Cost]]*Table14678[[#This Row],[Quantity]]</f>
        <v>1.75</v>
      </c>
      <c r="L15" s="74">
        <v>0</v>
      </c>
      <c r="M15" s="74">
        <f>Table14678[[#This Row],[Quantity]]*AB15-Table14678[[#This Row],[STOCK]]</f>
        <v>1000</v>
      </c>
      <c r="N15" s="74">
        <f>IF(Table14678[[#This Row],[Interim Value]]&lt;0,0,Table14678[[#This Row],[Interim Value]])</f>
        <v>1000</v>
      </c>
      <c r="O15" s="105">
        <f>Table14678[[#This Row],[Kitting Quantity]]*Table14678[[#This Row],[Total]]</f>
        <v>1750</v>
      </c>
      <c r="P15" s="11" t="s">
        <v>382</v>
      </c>
      <c r="Q15" s="11" t="s">
        <v>370</v>
      </c>
      <c r="R15" s="310">
        <v>0</v>
      </c>
      <c r="S15" s="310">
        <f>Table14678[[#This Row],[shortage for 5k kit]]*Table14678[[#This Row],[Total]]</f>
        <v>0</v>
      </c>
      <c r="AB15">
        <f>Q1</f>
        <v>1000</v>
      </c>
    </row>
    <row r="16" spans="1:28">
      <c r="A16" s="15">
        <v>11</v>
      </c>
      <c r="B16" s="84" t="s">
        <v>323</v>
      </c>
      <c r="C16" s="35">
        <v>1</v>
      </c>
      <c r="D16" s="36" t="s">
        <v>258</v>
      </c>
      <c r="E16" s="36" t="s">
        <v>244</v>
      </c>
      <c r="F16" s="71" t="s">
        <v>274</v>
      </c>
      <c r="G16" s="77"/>
      <c r="H16" s="36" t="s">
        <v>287</v>
      </c>
      <c r="I16" s="72" t="s">
        <v>292</v>
      </c>
      <c r="J16" s="74">
        <v>0.73</v>
      </c>
      <c r="K16" s="74">
        <f>Table14678[[#This Row],[Unit Cost]]*Table14678[[#This Row],[Quantity]]</f>
        <v>0.73</v>
      </c>
      <c r="L16" s="74">
        <v>15000</v>
      </c>
      <c r="M16" s="74">
        <f>Table14678[[#This Row],[Quantity]]*AB16-Table14678[[#This Row],[STOCK]]</f>
        <v>-14000</v>
      </c>
      <c r="N16" s="74">
        <f>IF(Table14678[[#This Row],[Interim Value]]&lt;0,0,Table14678[[#This Row],[Interim Value]])</f>
        <v>0</v>
      </c>
      <c r="O16" s="105">
        <f>Table14678[[#This Row],[Kitting Quantity]]*Table14678[[#This Row],[Total]]</f>
        <v>0</v>
      </c>
      <c r="P16" s="11" t="s">
        <v>292</v>
      </c>
      <c r="Q16" s="11" t="s">
        <v>370</v>
      </c>
      <c r="R16" s="310">
        <v>0</v>
      </c>
      <c r="S16" s="310">
        <f>Table14678[[#This Row],[shortage for 5k kit]]*Table14678[[#This Row],[Total]]</f>
        <v>0</v>
      </c>
      <c r="AB16">
        <f>Q1</f>
        <v>1000</v>
      </c>
    </row>
    <row r="17" spans="1:28">
      <c r="A17" s="15">
        <v>12</v>
      </c>
      <c r="B17" s="84" t="s">
        <v>323</v>
      </c>
      <c r="C17" s="35">
        <v>1</v>
      </c>
      <c r="D17" s="36" t="s">
        <v>259</v>
      </c>
      <c r="E17" s="36" t="s">
        <v>244</v>
      </c>
      <c r="F17" s="71" t="s">
        <v>274</v>
      </c>
      <c r="G17" s="72"/>
      <c r="H17" s="36" t="s">
        <v>287</v>
      </c>
      <c r="I17" s="72" t="s">
        <v>292</v>
      </c>
      <c r="J17" s="74">
        <v>0.73</v>
      </c>
      <c r="K17" s="74">
        <f>Table14678[[#This Row],[Unit Cost]]*Table14678[[#This Row],[Quantity]]</f>
        <v>0.73</v>
      </c>
      <c r="L17" s="74">
        <v>0</v>
      </c>
      <c r="M17" s="74">
        <f>Table14678[[#This Row],[Quantity]]*AB17-Table14678[[#This Row],[STOCK]]</f>
        <v>1000</v>
      </c>
      <c r="N17" s="74">
        <f>IF(Table14678[[#This Row],[Interim Value]]&lt;0,0,Table14678[[#This Row],[Interim Value]])</f>
        <v>1000</v>
      </c>
      <c r="O17" s="105">
        <f>Table14678[[#This Row],[Kitting Quantity]]*Table14678[[#This Row],[Total]]</f>
        <v>730</v>
      </c>
      <c r="P17" s="11" t="s">
        <v>292</v>
      </c>
      <c r="Q17" s="11" t="s">
        <v>370</v>
      </c>
      <c r="R17" s="310">
        <v>0</v>
      </c>
      <c r="S17" s="310">
        <f>Table14678[[#This Row],[shortage for 5k kit]]*Table14678[[#This Row],[Total]]</f>
        <v>0</v>
      </c>
      <c r="AB17">
        <f>Q1</f>
        <v>1000</v>
      </c>
    </row>
    <row r="18" spans="1:28">
      <c r="A18" s="15">
        <v>13</v>
      </c>
      <c r="B18" s="84" t="s">
        <v>27</v>
      </c>
      <c r="C18" s="35">
        <v>1</v>
      </c>
      <c r="D18" s="36" t="s">
        <v>260</v>
      </c>
      <c r="E18" s="31" t="s">
        <v>308</v>
      </c>
      <c r="F18" s="36" t="s">
        <v>164</v>
      </c>
      <c r="G18" s="72"/>
      <c r="H18" s="71" t="s">
        <v>288</v>
      </c>
      <c r="I18" s="72" t="s">
        <v>293</v>
      </c>
      <c r="J18" s="149">
        <v>3.5</v>
      </c>
      <c r="K18" s="149">
        <f>Table14678[[#This Row],[Unit Cost]]*Table14678[[#This Row],[Quantity]]</f>
        <v>3.5</v>
      </c>
      <c r="L18" s="74">
        <v>16000</v>
      </c>
      <c r="M18" s="74">
        <f>Table14678[[#This Row],[Quantity]]*AB18-Table14678[[#This Row],[STOCK]]</f>
        <v>-15000</v>
      </c>
      <c r="N18" s="74">
        <f>IF(Table14678[[#This Row],[Interim Value]]&lt;0,0,Table14678[[#This Row],[Interim Value]])</f>
        <v>0</v>
      </c>
      <c r="O18" s="105">
        <f>Table14678[[#This Row],[Kitting Quantity]]*Table14678[[#This Row],[Total]]</f>
        <v>0</v>
      </c>
      <c r="P18" s="11" t="s">
        <v>389</v>
      </c>
      <c r="Q18" s="11" t="s">
        <v>367</v>
      </c>
      <c r="R18" s="310">
        <v>0</v>
      </c>
      <c r="S18" s="310">
        <f>Table14678[[#This Row],[shortage for 5k kit]]*Table14678[[#This Row],[Total]]</f>
        <v>0</v>
      </c>
      <c r="AB18">
        <f>Q1</f>
        <v>1000</v>
      </c>
    </row>
    <row r="19" spans="1:28">
      <c r="A19" s="15">
        <v>14</v>
      </c>
      <c r="B19" s="84" t="s">
        <v>205</v>
      </c>
      <c r="C19" s="35">
        <v>1</v>
      </c>
      <c r="D19" s="36" t="s">
        <v>110</v>
      </c>
      <c r="E19" s="71" t="s">
        <v>295</v>
      </c>
      <c r="F19" s="36" t="s">
        <v>167</v>
      </c>
      <c r="G19" s="72"/>
      <c r="H19" s="36" t="s">
        <v>289</v>
      </c>
      <c r="I19" s="78" t="s">
        <v>293</v>
      </c>
      <c r="J19" s="149">
        <v>2.5</v>
      </c>
      <c r="K19" s="149">
        <f>Table14678[[#This Row],[Unit Cost]]*Table14678[[#This Row],[Quantity]]</f>
        <v>2.5</v>
      </c>
      <c r="L19" s="74">
        <v>0</v>
      </c>
      <c r="M19" s="74">
        <f>Table14678[[#This Row],[Quantity]]*AB19-Table14678[[#This Row],[STOCK]]</f>
        <v>1000</v>
      </c>
      <c r="N19" s="74">
        <f>IF(Table14678[[#This Row],[Interim Value]]&lt;0,0,Table14678[[#This Row],[Interim Value]])</f>
        <v>1000</v>
      </c>
      <c r="O19" s="105">
        <f>Table14678[[#This Row],[Kitting Quantity]]*Table14678[[#This Row],[Total]]</f>
        <v>2500</v>
      </c>
      <c r="P19" s="11" t="s">
        <v>382</v>
      </c>
      <c r="Q19" s="11" t="s">
        <v>370</v>
      </c>
      <c r="R19" s="310">
        <v>5000</v>
      </c>
      <c r="S19" s="310">
        <f>Table14678[[#This Row],[shortage for 5k kit]]*Table14678[[#This Row],[Total]]</f>
        <v>12500</v>
      </c>
      <c r="AB19">
        <f>Q1</f>
        <v>1000</v>
      </c>
    </row>
    <row r="20" spans="1:28">
      <c r="A20" s="15">
        <v>15</v>
      </c>
      <c r="B20" s="72" t="s">
        <v>324</v>
      </c>
      <c r="C20" s="35">
        <v>2</v>
      </c>
      <c r="D20" s="36" t="s">
        <v>261</v>
      </c>
      <c r="E20" s="36" t="s">
        <v>245</v>
      </c>
      <c r="F20" s="36" t="s">
        <v>275</v>
      </c>
      <c r="G20" s="77">
        <v>0.05</v>
      </c>
      <c r="H20" s="72" t="s">
        <v>230</v>
      </c>
      <c r="I20" s="72" t="s">
        <v>172</v>
      </c>
      <c r="J20" s="149">
        <v>5</v>
      </c>
      <c r="K20" s="149">
        <f>Table14678[[#This Row],[Unit Cost]]*Table14678[[#This Row],[Quantity]]</f>
        <v>10</v>
      </c>
      <c r="L20" s="74">
        <v>0</v>
      </c>
      <c r="M20" s="74">
        <f>Table14678[[#This Row],[Quantity]]*AB20-Table14678[[#This Row],[STOCK]]</f>
        <v>2000</v>
      </c>
      <c r="N20" s="74">
        <f>IF(Table14678[[#This Row],[Interim Value]]&lt;0,0,Table14678[[#This Row],[Interim Value]])</f>
        <v>2000</v>
      </c>
      <c r="O20" s="105">
        <f>Table14678[[#This Row],[Kitting Quantity]]*Table14678[[#This Row],[Total]]</f>
        <v>20000</v>
      </c>
      <c r="P20" s="11" t="s">
        <v>385</v>
      </c>
      <c r="Q20" s="11" t="s">
        <v>386</v>
      </c>
      <c r="R20" s="310">
        <v>10000</v>
      </c>
      <c r="S20" s="310">
        <f>Table14678[[#This Row],[shortage for 5k kit]]*Table14678[[#This Row],[Total]]</f>
        <v>100000</v>
      </c>
      <c r="AB20">
        <f>Q1</f>
        <v>1000</v>
      </c>
    </row>
    <row r="21" spans="1:28">
      <c r="A21" s="15">
        <v>16</v>
      </c>
      <c r="B21" s="84" t="s">
        <v>42</v>
      </c>
      <c r="C21" s="35">
        <v>1</v>
      </c>
      <c r="D21" s="36" t="s">
        <v>43</v>
      </c>
      <c r="E21" s="31" t="s">
        <v>309</v>
      </c>
      <c r="F21" s="36" t="s">
        <v>276</v>
      </c>
      <c r="G21" s="72"/>
      <c r="H21" s="36" t="s">
        <v>290</v>
      </c>
      <c r="I21" s="72" t="s">
        <v>293</v>
      </c>
      <c r="J21" s="232">
        <v>12</v>
      </c>
      <c r="K21" s="232">
        <f>Table14678[[#This Row],[Unit Cost]]*Table14678[[#This Row],[Quantity]]</f>
        <v>12</v>
      </c>
      <c r="L21" s="74">
        <v>33000</v>
      </c>
      <c r="M21" s="74">
        <f>Table14678[[#This Row],[Quantity]]*AB21-Table14678[[#This Row],[STOCK]]</f>
        <v>-32000</v>
      </c>
      <c r="N21" s="74">
        <f>IF(Table14678[[#This Row],[Interim Value]]&lt;0,0,Table14678[[#This Row],[Interim Value]])</f>
        <v>0</v>
      </c>
      <c r="O21" s="105">
        <f>Table14678[[#This Row],[Kitting Quantity]]*Table14678[[#This Row],[Total]]</f>
        <v>0</v>
      </c>
      <c r="P21" s="11" t="s">
        <v>185</v>
      </c>
      <c r="Q21" s="11" t="s">
        <v>367</v>
      </c>
      <c r="R21" s="310">
        <v>0</v>
      </c>
      <c r="S21" s="310">
        <f>Table14678[[#This Row],[shortage for 5k kit]]*Table14678[[#This Row],[Total]]</f>
        <v>0</v>
      </c>
      <c r="AB21">
        <f>Q1</f>
        <v>1000</v>
      </c>
    </row>
    <row r="22" spans="1:28">
      <c r="A22" s="15">
        <v>17</v>
      </c>
      <c r="B22" s="72" t="s">
        <v>325</v>
      </c>
      <c r="C22" s="35">
        <v>2</v>
      </c>
      <c r="D22" s="36" t="s">
        <v>262</v>
      </c>
      <c r="E22" s="36" t="s">
        <v>374</v>
      </c>
      <c r="F22" s="36" t="s">
        <v>277</v>
      </c>
      <c r="G22" s="77"/>
      <c r="H22" s="36" t="s">
        <v>228</v>
      </c>
      <c r="I22" s="72" t="s">
        <v>292</v>
      </c>
      <c r="J22" s="74">
        <v>0.15</v>
      </c>
      <c r="K22" s="74">
        <f>Table14678[[#This Row],[Unit Cost]]*Table14678[[#This Row],[Quantity]]</f>
        <v>0.3</v>
      </c>
      <c r="L22" s="74">
        <v>0</v>
      </c>
      <c r="M22" s="74">
        <f>Table14678[[#This Row],[Quantity]]*AB22-Table14678[[#This Row],[STOCK]]</f>
        <v>2000</v>
      </c>
      <c r="N22" s="74">
        <f>IF(Table14678[[#This Row],[Interim Value]]&lt;0,0,Table14678[[#This Row],[Interim Value]])</f>
        <v>2000</v>
      </c>
      <c r="O22" s="105">
        <f>Table14678[[#This Row],[Kitting Quantity]]*Table14678[[#This Row],[Total]]</f>
        <v>600</v>
      </c>
      <c r="P22" s="11" t="s">
        <v>364</v>
      </c>
      <c r="Q22" s="11" t="s">
        <v>384</v>
      </c>
      <c r="R22" s="310">
        <v>0</v>
      </c>
      <c r="S22" s="310">
        <f>Table14678[[#This Row],[shortage for 5k kit]]*Table14678[[#This Row],[Total]]</f>
        <v>0</v>
      </c>
      <c r="AB22">
        <f>Q1</f>
        <v>1000</v>
      </c>
    </row>
    <row r="23" spans="1:28">
      <c r="A23" s="15">
        <v>18</v>
      </c>
      <c r="B23" s="72" t="s">
        <v>223</v>
      </c>
      <c r="C23" s="35">
        <v>1</v>
      </c>
      <c r="D23" s="36" t="s">
        <v>62</v>
      </c>
      <c r="E23" s="36" t="s">
        <v>66</v>
      </c>
      <c r="F23" s="36" t="s">
        <v>53</v>
      </c>
      <c r="G23" s="77">
        <v>0.05</v>
      </c>
      <c r="H23" s="36" t="s">
        <v>228</v>
      </c>
      <c r="I23" s="72" t="s">
        <v>292</v>
      </c>
      <c r="J23" s="74">
        <v>0.08</v>
      </c>
      <c r="K23" s="74">
        <f>Table14678[[#This Row],[Unit Cost]]*Table14678[[#This Row],[Quantity]]</f>
        <v>0.08</v>
      </c>
      <c r="L23" s="74">
        <v>0</v>
      </c>
      <c r="M23" s="74">
        <f>Table14678[[#This Row],[Quantity]]*AB23-Table14678[[#This Row],[STOCK]]</f>
        <v>1000</v>
      </c>
      <c r="N23" s="74">
        <f>IF(Table14678[[#This Row],[Interim Value]]&lt;0,0,Table14678[[#This Row],[Interim Value]])</f>
        <v>1000</v>
      </c>
      <c r="O23" s="105">
        <f>Table14678[[#This Row],[Kitting Quantity]]*Table14678[[#This Row],[Total]]</f>
        <v>80</v>
      </c>
      <c r="P23" s="11" t="s">
        <v>292</v>
      </c>
      <c r="Q23" s="11" t="s">
        <v>370</v>
      </c>
      <c r="R23" s="310">
        <v>0</v>
      </c>
      <c r="S23" s="310">
        <f>Table14678[[#This Row],[shortage for 5k kit]]*Table14678[[#This Row],[Total]]</f>
        <v>0</v>
      </c>
      <c r="AB23">
        <f>Q1</f>
        <v>1000</v>
      </c>
    </row>
    <row r="24" spans="1:28">
      <c r="A24" s="15">
        <v>19</v>
      </c>
      <c r="B24" s="72" t="s">
        <v>326</v>
      </c>
      <c r="C24" s="35">
        <v>1</v>
      </c>
      <c r="D24" s="36" t="s">
        <v>79</v>
      </c>
      <c r="E24" s="36" t="s">
        <v>247</v>
      </c>
      <c r="F24" s="36" t="s">
        <v>278</v>
      </c>
      <c r="G24" s="77">
        <v>0.05</v>
      </c>
      <c r="H24" s="36" t="s">
        <v>228</v>
      </c>
      <c r="I24" s="72" t="s">
        <v>292</v>
      </c>
      <c r="J24" s="74">
        <v>0.21</v>
      </c>
      <c r="K24" s="74">
        <f>Table14678[[#This Row],[Unit Cost]]*Table14678[[#This Row],[Quantity]]</f>
        <v>0.21</v>
      </c>
      <c r="L24" s="74">
        <v>0</v>
      </c>
      <c r="M24" s="74">
        <f>Table14678[[#This Row],[Quantity]]*AB24-Table14678[[#This Row],[STOCK]]</f>
        <v>1000</v>
      </c>
      <c r="N24" s="74">
        <f>IF(Table14678[[#This Row],[Interim Value]]&lt;0,0,Table14678[[#This Row],[Interim Value]])</f>
        <v>1000</v>
      </c>
      <c r="O24" s="105">
        <f>Table14678[[#This Row],[Kitting Quantity]]*Table14678[[#This Row],[Total]]</f>
        <v>210</v>
      </c>
      <c r="P24" s="11" t="s">
        <v>364</v>
      </c>
      <c r="Q24" s="11" t="s">
        <v>384</v>
      </c>
      <c r="R24" s="310">
        <v>0</v>
      </c>
      <c r="S24" s="310">
        <f>Table14678[[#This Row],[shortage for 5k kit]]*Table14678[[#This Row],[Total]]</f>
        <v>0</v>
      </c>
      <c r="AB24">
        <f>Q1</f>
        <v>1000</v>
      </c>
    </row>
    <row r="25" spans="1:28">
      <c r="A25" s="15">
        <v>20</v>
      </c>
      <c r="B25" s="72" t="s">
        <v>327</v>
      </c>
      <c r="C25" s="35">
        <v>1</v>
      </c>
      <c r="D25" s="36" t="s">
        <v>59</v>
      </c>
      <c r="E25" s="36" t="s">
        <v>248</v>
      </c>
      <c r="F25" s="36" t="s">
        <v>53</v>
      </c>
      <c r="G25" s="77">
        <v>0.05</v>
      </c>
      <c r="H25" s="36" t="s">
        <v>228</v>
      </c>
      <c r="I25" s="72" t="s">
        <v>292</v>
      </c>
      <c r="J25" s="74">
        <v>0.08</v>
      </c>
      <c r="K25" s="74">
        <f>Table14678[[#This Row],[Unit Cost]]*Table14678[[#This Row],[Quantity]]</f>
        <v>0.08</v>
      </c>
      <c r="L25" s="74">
        <v>0</v>
      </c>
      <c r="M25" s="74">
        <f>Table14678[[#This Row],[Quantity]]*AB25-Table14678[[#This Row],[STOCK]]</f>
        <v>1000</v>
      </c>
      <c r="N25" s="74">
        <f>IF(Table14678[[#This Row],[Interim Value]]&lt;0,0,Table14678[[#This Row],[Interim Value]])</f>
        <v>1000</v>
      </c>
      <c r="O25" s="105">
        <f>Table14678[[#This Row],[Kitting Quantity]]*Table14678[[#This Row],[Total]]</f>
        <v>80</v>
      </c>
      <c r="P25" s="11" t="s">
        <v>292</v>
      </c>
      <c r="Q25" s="11" t="s">
        <v>370</v>
      </c>
      <c r="R25" s="310">
        <v>0</v>
      </c>
      <c r="S25" s="310">
        <f>Table14678[[#This Row],[shortage for 5k kit]]*Table14678[[#This Row],[Total]]</f>
        <v>0</v>
      </c>
      <c r="AB25">
        <f>Q1</f>
        <v>1000</v>
      </c>
    </row>
    <row r="26" spans="1:28">
      <c r="A26" s="15">
        <v>21</v>
      </c>
      <c r="B26" s="72" t="s">
        <v>338</v>
      </c>
      <c r="C26" s="35">
        <v>1</v>
      </c>
      <c r="D26" s="36" t="s">
        <v>70</v>
      </c>
      <c r="E26" s="36" t="s">
        <v>249</v>
      </c>
      <c r="F26" s="36" t="s">
        <v>53</v>
      </c>
      <c r="G26" s="77">
        <v>0.01</v>
      </c>
      <c r="H26" s="36" t="s">
        <v>228</v>
      </c>
      <c r="I26" s="72" t="s">
        <v>292</v>
      </c>
      <c r="J26" s="74">
        <v>0.08</v>
      </c>
      <c r="K26" s="74">
        <f>Table14678[[#This Row],[Unit Cost]]*Table14678[[#This Row],[Quantity]]</f>
        <v>0.08</v>
      </c>
      <c r="L26" s="74">
        <v>0</v>
      </c>
      <c r="M26" s="74">
        <f>Table14678[[#This Row],[Quantity]]*AB26-Table14678[[#This Row],[STOCK]]</f>
        <v>1000</v>
      </c>
      <c r="N26" s="74">
        <f>IF(Table14678[[#This Row],[Interim Value]]&lt;0,0,Table14678[[#This Row],[Interim Value]])</f>
        <v>1000</v>
      </c>
      <c r="O26" s="105">
        <f>Table14678[[#This Row],[Kitting Quantity]]*Table14678[[#This Row],[Total]]</f>
        <v>80</v>
      </c>
      <c r="P26" s="11" t="s">
        <v>292</v>
      </c>
      <c r="Q26" s="11" t="s">
        <v>370</v>
      </c>
      <c r="R26" s="310">
        <v>0</v>
      </c>
      <c r="S26" s="310">
        <f>Table14678[[#This Row],[shortage for 5k kit]]*Table14678[[#This Row],[Total]]</f>
        <v>0</v>
      </c>
      <c r="AB26">
        <f>Q1</f>
        <v>1000</v>
      </c>
    </row>
    <row r="27" spans="1:28">
      <c r="A27" s="15">
        <v>22</v>
      </c>
      <c r="B27" s="72" t="s">
        <v>329</v>
      </c>
      <c r="C27" s="35">
        <v>1</v>
      </c>
      <c r="D27" s="36" t="s">
        <v>73</v>
      </c>
      <c r="E27" s="36" t="s">
        <v>300</v>
      </c>
      <c r="F27" s="36" t="s">
        <v>53</v>
      </c>
      <c r="G27" s="77">
        <v>0.01</v>
      </c>
      <c r="H27" s="36" t="s">
        <v>228</v>
      </c>
      <c r="I27" s="72" t="s">
        <v>292</v>
      </c>
      <c r="J27" s="74">
        <v>0.1</v>
      </c>
      <c r="K27" s="74">
        <f>Table14678[[#This Row],[Unit Cost]]*Table14678[[#This Row],[Quantity]]</f>
        <v>0.1</v>
      </c>
      <c r="L27" s="74">
        <v>10000</v>
      </c>
      <c r="M27" s="74">
        <f>Table14678[[#This Row],[Quantity]]*AB27-Table14678[[#This Row],[STOCK]]</f>
        <v>-9000</v>
      </c>
      <c r="N27" s="74">
        <f>IF(Table14678[[#This Row],[Interim Value]]&lt;0,0,Table14678[[#This Row],[Interim Value]])</f>
        <v>0</v>
      </c>
      <c r="O27" s="105">
        <f>Table14678[[#This Row],[Kitting Quantity]]*Table14678[[#This Row],[Total]]</f>
        <v>0</v>
      </c>
      <c r="P27" s="11" t="s">
        <v>292</v>
      </c>
      <c r="Q27" s="11" t="s">
        <v>370</v>
      </c>
      <c r="R27" s="310">
        <v>0</v>
      </c>
      <c r="S27" s="310">
        <f>Table14678[[#This Row],[shortage for 5k kit]]*Table14678[[#This Row],[Total]]</f>
        <v>0</v>
      </c>
      <c r="AB27">
        <f>AB26</f>
        <v>1000</v>
      </c>
    </row>
    <row r="28" spans="1:28">
      <c r="A28" s="15">
        <v>23</v>
      </c>
      <c r="B28" s="72" t="s">
        <v>339</v>
      </c>
      <c r="C28" s="35">
        <v>1</v>
      </c>
      <c r="D28" s="36" t="s">
        <v>182</v>
      </c>
      <c r="E28" s="36" t="s">
        <v>247</v>
      </c>
      <c r="F28" s="36" t="s">
        <v>53</v>
      </c>
      <c r="G28" s="77">
        <v>0.01</v>
      </c>
      <c r="H28" s="36" t="s">
        <v>228</v>
      </c>
      <c r="I28" s="72" t="s">
        <v>292</v>
      </c>
      <c r="J28" s="74">
        <v>0.1</v>
      </c>
      <c r="K28" s="74">
        <f>Table14678[[#This Row],[Unit Cost]]*Table14678[[#This Row],[Quantity]]</f>
        <v>0.1</v>
      </c>
      <c r="L28" s="74">
        <v>10000</v>
      </c>
      <c r="M28" s="74">
        <f>Table14678[[#This Row],[Quantity]]*AB28-Table14678[[#This Row],[STOCK]]</f>
        <v>-9000</v>
      </c>
      <c r="N28" s="74">
        <f>IF(Table14678[[#This Row],[Interim Value]]&lt;0,0,Table14678[[#This Row],[Interim Value]])</f>
        <v>0</v>
      </c>
      <c r="O28" s="105">
        <f>Table14678[[#This Row],[Kitting Quantity]]*Table14678[[#This Row],[Total]]</f>
        <v>0</v>
      </c>
      <c r="P28" s="11" t="s">
        <v>292</v>
      </c>
      <c r="Q28" s="11" t="s">
        <v>370</v>
      </c>
      <c r="R28" s="310">
        <v>0</v>
      </c>
      <c r="S28" s="310">
        <f>Table14678[[#This Row],[shortage for 5k kit]]*Table14678[[#This Row],[Total]]</f>
        <v>0</v>
      </c>
      <c r="AB28">
        <f>Q1</f>
        <v>1000</v>
      </c>
    </row>
    <row r="29" spans="1:28">
      <c r="A29" s="15">
        <v>24</v>
      </c>
      <c r="B29" s="72" t="s">
        <v>331</v>
      </c>
      <c r="C29" s="35">
        <v>1</v>
      </c>
      <c r="D29" s="36" t="s">
        <v>55</v>
      </c>
      <c r="E29" s="36" t="s">
        <v>76</v>
      </c>
      <c r="F29" s="36" t="s">
        <v>53</v>
      </c>
      <c r="G29" s="77">
        <v>0.05</v>
      </c>
      <c r="H29" s="36" t="s">
        <v>228</v>
      </c>
      <c r="I29" s="72" t="s">
        <v>292</v>
      </c>
      <c r="J29" s="74">
        <v>0.08</v>
      </c>
      <c r="K29" s="74">
        <f>Table14678[[#This Row],[Unit Cost]]*Table14678[[#This Row],[Quantity]]</f>
        <v>0.08</v>
      </c>
      <c r="L29" s="74">
        <v>0</v>
      </c>
      <c r="M29" s="74">
        <f>Table14678[[#This Row],[Quantity]]*AB29-Table14678[[#This Row],[STOCK]]</f>
        <v>1000</v>
      </c>
      <c r="N29" s="74">
        <f>IF(Table14678[[#This Row],[Interim Value]]&lt;0,0,Table14678[[#This Row],[Interim Value]])</f>
        <v>1000</v>
      </c>
      <c r="O29" s="105">
        <f>Table14678[[#This Row],[Kitting Quantity]]*Table14678[[#This Row],[Total]]</f>
        <v>80</v>
      </c>
      <c r="P29" s="11" t="s">
        <v>292</v>
      </c>
      <c r="Q29" s="11" t="s">
        <v>370</v>
      </c>
      <c r="R29" s="310">
        <v>0</v>
      </c>
      <c r="S29" s="310">
        <f>Table14678[[#This Row],[shortage for 5k kit]]*Table14678[[#This Row],[Total]]</f>
        <v>0</v>
      </c>
      <c r="AB29">
        <f>Q1</f>
        <v>1000</v>
      </c>
    </row>
    <row r="30" spans="1:28">
      <c r="A30" s="15">
        <v>25</v>
      </c>
      <c r="B30" s="72" t="s">
        <v>344</v>
      </c>
      <c r="C30" s="35">
        <v>1</v>
      </c>
      <c r="D30" s="36" t="s">
        <v>65</v>
      </c>
      <c r="E30" s="36" t="s">
        <v>310</v>
      </c>
      <c r="F30" s="36" t="s">
        <v>53</v>
      </c>
      <c r="G30" s="77">
        <v>0.01</v>
      </c>
      <c r="H30" s="36" t="s">
        <v>228</v>
      </c>
      <c r="I30" s="72" t="s">
        <v>292</v>
      </c>
      <c r="J30" s="74">
        <v>0.14000000000000001</v>
      </c>
      <c r="K30" s="74">
        <f>Table14678[[#This Row],[Unit Cost]]*Table14678[[#This Row],[Quantity]]</f>
        <v>0.14000000000000001</v>
      </c>
      <c r="L30" s="74">
        <v>5000</v>
      </c>
      <c r="M30" s="74">
        <f>Table14678[[#This Row],[Quantity]]*AB30-Table14678[[#This Row],[STOCK]]</f>
        <v>-4000</v>
      </c>
      <c r="N30" s="74">
        <f>IF(Table14678[[#This Row],[Interim Value]]&lt;0,0,Table14678[[#This Row],[Interim Value]])</f>
        <v>0</v>
      </c>
      <c r="O30" s="105">
        <f>Table14678[[#This Row],[Kitting Quantity]]*Table14678[[#This Row],[Total]]</f>
        <v>0</v>
      </c>
      <c r="P30" s="11" t="s">
        <v>292</v>
      </c>
      <c r="Q30" s="11" t="s">
        <v>370</v>
      </c>
      <c r="R30" s="310">
        <v>0</v>
      </c>
      <c r="S30" s="310">
        <f>Table14678[[#This Row],[shortage for 5k kit]]*Table14678[[#This Row],[Total]]</f>
        <v>0</v>
      </c>
      <c r="AB30">
        <f>Q1</f>
        <v>1000</v>
      </c>
    </row>
    <row r="31" spans="1:28" ht="15.75" thickBot="1">
      <c r="A31" s="15">
        <v>26</v>
      </c>
      <c r="B31" s="235" t="s">
        <v>478</v>
      </c>
      <c r="C31" s="35">
        <v>1</v>
      </c>
      <c r="D31" s="36" t="s">
        <v>263</v>
      </c>
      <c r="E31" s="36" t="s">
        <v>311</v>
      </c>
      <c r="F31" s="36" t="s">
        <v>53</v>
      </c>
      <c r="G31" s="77">
        <v>0.01</v>
      </c>
      <c r="H31" s="36" t="s">
        <v>228</v>
      </c>
      <c r="I31" s="72" t="s">
        <v>292</v>
      </c>
      <c r="J31" s="74">
        <v>0.14000000000000001</v>
      </c>
      <c r="K31" s="74">
        <f>Table14678[[#This Row],[Unit Cost]]*Table14678[[#This Row],[Quantity]]</f>
        <v>0.14000000000000001</v>
      </c>
      <c r="L31" s="74">
        <v>0</v>
      </c>
      <c r="M31" s="74">
        <f>Table14678[[#This Row],[Quantity]]*AB31-Table14678[[#This Row],[STOCK]]</f>
        <v>1000</v>
      </c>
      <c r="N31" s="74">
        <f>IF(Table14678[[#This Row],[Interim Value]]&lt;0,0,Table14678[[#This Row],[Interim Value]])</f>
        <v>1000</v>
      </c>
      <c r="O31" s="105">
        <f>Table14678[[#This Row],[Kitting Quantity]]*Table14678[[#This Row],[Total]]</f>
        <v>140</v>
      </c>
      <c r="P31" s="11" t="s">
        <v>292</v>
      </c>
      <c r="Q31" s="11" t="s">
        <v>370</v>
      </c>
      <c r="R31" s="310">
        <v>0</v>
      </c>
      <c r="S31" s="310">
        <f>Table14678[[#This Row],[shortage for 5k kit]]*Table14678[[#This Row],[Total]]</f>
        <v>0</v>
      </c>
      <c r="AB31">
        <f>Q1</f>
        <v>1000</v>
      </c>
    </row>
    <row r="32" spans="1:28">
      <c r="A32" s="15">
        <v>27</v>
      </c>
      <c r="B32" s="11"/>
      <c r="C32" s="35">
        <v>1</v>
      </c>
      <c r="D32" s="36" t="s">
        <v>68</v>
      </c>
      <c r="E32" s="36" t="s">
        <v>98</v>
      </c>
      <c r="F32" s="36" t="s">
        <v>53</v>
      </c>
      <c r="G32" s="77">
        <v>0.01</v>
      </c>
      <c r="H32" s="36" t="s">
        <v>228</v>
      </c>
      <c r="I32" s="72"/>
      <c r="J32" s="74"/>
      <c r="K32" s="74">
        <f>Table14678[[#This Row],[Unit Cost]]*Table14678[[#This Row],[Quantity]]</f>
        <v>0</v>
      </c>
      <c r="L32" s="74">
        <v>0</v>
      </c>
      <c r="M32" s="74">
        <f>Table14678[[#This Row],[Quantity]]*AB32-Table14678[[#This Row],[STOCK]]</f>
        <v>1000</v>
      </c>
      <c r="N32" s="74">
        <f>IF(Table14678[[#This Row],[Interim Value]]&lt;0,0,Table14678[[#This Row],[Interim Value]])</f>
        <v>1000</v>
      </c>
      <c r="O32" s="105">
        <f>Table14678[[#This Row],[Kitting Quantity]]*Table14678[[#This Row],[Total]]</f>
        <v>0</v>
      </c>
      <c r="P32" s="11" t="s">
        <v>292</v>
      </c>
      <c r="Q32" s="11" t="s">
        <v>370</v>
      </c>
      <c r="R32" s="310">
        <v>0</v>
      </c>
      <c r="S32" s="310">
        <f>Table14678[[#This Row],[shortage for 5k kit]]*Table14678[[#This Row],[Total]]</f>
        <v>0</v>
      </c>
      <c r="AB32">
        <f>Q1</f>
        <v>1000</v>
      </c>
    </row>
    <row r="33" spans="1:28">
      <c r="A33" s="15">
        <v>28</v>
      </c>
      <c r="B33" s="72" t="s">
        <v>346</v>
      </c>
      <c r="C33" s="35">
        <v>1</v>
      </c>
      <c r="D33" s="36" t="s">
        <v>264</v>
      </c>
      <c r="E33" s="36" t="s">
        <v>345</v>
      </c>
      <c r="F33" s="36" t="s">
        <v>312</v>
      </c>
      <c r="G33" s="77">
        <v>0.05</v>
      </c>
      <c r="H33" s="36" t="s">
        <v>291</v>
      </c>
      <c r="I33" s="72" t="s">
        <v>172</v>
      </c>
      <c r="J33" s="74">
        <v>12</v>
      </c>
      <c r="K33" s="74">
        <f>Table14678[[#This Row],[Unit Cost]]*Table14678[[#This Row],[Quantity]]</f>
        <v>12</v>
      </c>
      <c r="L33" s="74">
        <v>0</v>
      </c>
      <c r="M33" s="74">
        <f>Table14678[[#This Row],[Quantity]]*AB33-Table14678[[#This Row],[STOCK]]</f>
        <v>1000</v>
      </c>
      <c r="N33" s="74">
        <f>IF(Table14678[[#This Row],[Interim Value]]&lt;0,0,Table14678[[#This Row],[Interim Value]])</f>
        <v>1000</v>
      </c>
      <c r="O33" s="105">
        <f>Table14678[[#This Row],[Kitting Quantity]]*Table14678[[#This Row],[Total]]</f>
        <v>12000</v>
      </c>
      <c r="P33" s="11" t="s">
        <v>172</v>
      </c>
      <c r="Q33" s="11" t="s">
        <v>366</v>
      </c>
      <c r="R33" s="310">
        <v>5000</v>
      </c>
      <c r="S33" s="310">
        <f>Table14678[[#This Row],[shortage for 5k kit]]*Table14678[[#This Row],[Total]]</f>
        <v>60000</v>
      </c>
      <c r="AB33">
        <f>Q1</f>
        <v>1000</v>
      </c>
    </row>
    <row r="34" spans="1:28">
      <c r="A34" s="15">
        <v>29</v>
      </c>
      <c r="B34" s="11" t="s">
        <v>333</v>
      </c>
      <c r="C34" s="35">
        <v>1</v>
      </c>
      <c r="D34" s="36" t="s">
        <v>84</v>
      </c>
      <c r="E34" s="36" t="s">
        <v>252</v>
      </c>
      <c r="F34" s="36" t="s">
        <v>280</v>
      </c>
      <c r="G34" s="6"/>
      <c r="H34" s="4" t="s">
        <v>230</v>
      </c>
      <c r="I34" s="6" t="s">
        <v>185</v>
      </c>
      <c r="J34" s="74">
        <v>20</v>
      </c>
      <c r="K34" s="74">
        <f>Table14678[[#This Row],[Unit Cost]]*Table14678[[#This Row],[Quantity]]</f>
        <v>20</v>
      </c>
      <c r="L34" s="74">
        <v>0</v>
      </c>
      <c r="M34" s="74">
        <f>Table14678[[#This Row],[Quantity]]*AB34-Table14678[[#This Row],[STOCK]]</f>
        <v>1000</v>
      </c>
      <c r="N34" s="74">
        <f>IF(Table14678[[#This Row],[Interim Value]]&lt;0,0,Table14678[[#This Row],[Interim Value]])</f>
        <v>1000</v>
      </c>
      <c r="O34" s="105">
        <f>Table14678[[#This Row],[Kitting Quantity]]*Table14678[[#This Row],[Total]]</f>
        <v>20000</v>
      </c>
      <c r="P34" s="11" t="s">
        <v>185</v>
      </c>
      <c r="Q34" s="11" t="s">
        <v>367</v>
      </c>
      <c r="R34" s="310">
        <v>0</v>
      </c>
      <c r="S34" s="310">
        <f>Table14678[[#This Row],[shortage for 5k kit]]*Table14678[[#This Row],[Total]]</f>
        <v>0</v>
      </c>
      <c r="AB34">
        <f>Q1</f>
        <v>1000</v>
      </c>
    </row>
    <row r="35" spans="1:28">
      <c r="A35" s="15">
        <v>30</v>
      </c>
      <c r="B35" s="72" t="s">
        <v>334</v>
      </c>
      <c r="C35" s="72">
        <v>1</v>
      </c>
      <c r="D35" s="72"/>
      <c r="E35" s="72" t="s">
        <v>253</v>
      </c>
      <c r="F35" s="72" t="s">
        <v>281</v>
      </c>
      <c r="G35" s="6"/>
      <c r="H35" s="6"/>
      <c r="I35" s="6" t="s">
        <v>234</v>
      </c>
      <c r="J35" s="74">
        <v>8.4</v>
      </c>
      <c r="K35" s="74">
        <f>Table14678[[#This Row],[Unit Cost]]*Table14678[[#This Row],[Quantity]]</f>
        <v>8.4</v>
      </c>
      <c r="L35" s="74">
        <v>0</v>
      </c>
      <c r="M35" s="74">
        <f>Table14678[[#This Row],[Quantity]]*AB35-Table14678[[#This Row],[STOCK]]</f>
        <v>1000</v>
      </c>
      <c r="N35" s="74">
        <f>IF(Table14678[[#This Row],[Interim Value]]&lt;0,0,Table14678[[#This Row],[Interim Value]])</f>
        <v>1000</v>
      </c>
      <c r="O35" s="105">
        <f>Table14678[[#This Row],[Kitting Quantity]]*Table14678[[#This Row],[Total]]</f>
        <v>8400</v>
      </c>
      <c r="P35" s="11" t="s">
        <v>188</v>
      </c>
      <c r="Q35" s="11" t="s">
        <v>370</v>
      </c>
      <c r="R35" s="310">
        <v>0</v>
      </c>
      <c r="S35" s="310">
        <f>Table14678[[#This Row],[shortage for 5k kit]]*Table14678[[#This Row],[Total]]</f>
        <v>0</v>
      </c>
      <c r="AB35">
        <f>Q1</f>
        <v>1000</v>
      </c>
    </row>
    <row r="36" spans="1:28">
      <c r="A36" s="15">
        <v>31</v>
      </c>
      <c r="B36" s="84" t="s">
        <v>335</v>
      </c>
      <c r="C36" s="3">
        <v>1</v>
      </c>
      <c r="D36" s="4" t="s">
        <v>254</v>
      </c>
      <c r="E36" s="4" t="s">
        <v>254</v>
      </c>
      <c r="F36" s="6"/>
      <c r="G36" s="6"/>
      <c r="H36" s="6"/>
      <c r="I36" s="6" t="s">
        <v>294</v>
      </c>
      <c r="J36" s="74">
        <v>2.75</v>
      </c>
      <c r="K36" s="74">
        <f>Table14678[[#This Row],[Unit Cost]]*Table14678[[#This Row],[Quantity]]</f>
        <v>2.75</v>
      </c>
      <c r="L36" s="74">
        <v>0</v>
      </c>
      <c r="M36" s="74">
        <f>Table14678[[#This Row],[Quantity]]*AB36-Table14678[[#This Row],[STOCK]]</f>
        <v>1000</v>
      </c>
      <c r="N36" s="74">
        <f>IF(Table14678[[#This Row],[Interim Value]]&lt;0,0,Table14678[[#This Row],[Interim Value]])</f>
        <v>1000</v>
      </c>
      <c r="O36" s="105">
        <f>Table14678[[#This Row],[Kitting Quantity]]*Table14678[[#This Row],[Total]]</f>
        <v>2750</v>
      </c>
      <c r="P36" s="11" t="s">
        <v>387</v>
      </c>
      <c r="Q36" s="11" t="s">
        <v>370</v>
      </c>
      <c r="R36" s="310">
        <v>0</v>
      </c>
      <c r="S36" s="310">
        <f>Table14678[[#This Row],[shortage for 5k kit]]*Table14678[[#This Row],[Total]]</f>
        <v>0</v>
      </c>
      <c r="AB36">
        <f>Q1</f>
        <v>1000</v>
      </c>
    </row>
    <row r="37" spans="1:28">
      <c r="A37" s="15">
        <v>33</v>
      </c>
      <c r="B37" s="72" t="s">
        <v>353</v>
      </c>
      <c r="C37" s="40">
        <v>1</v>
      </c>
      <c r="D37" s="72"/>
      <c r="E37" s="83" t="s">
        <v>296</v>
      </c>
      <c r="F37" s="39" t="s">
        <v>297</v>
      </c>
      <c r="G37" s="39"/>
      <c r="H37" s="39"/>
      <c r="I37" s="39"/>
      <c r="J37" s="82">
        <v>0.2</v>
      </c>
      <c r="K37" s="82">
        <f>Table14678[[#This Row],[Unit Cost]]*Table14678[[#This Row],[Quantity]]</f>
        <v>0.2</v>
      </c>
      <c r="L37" s="82">
        <v>0</v>
      </c>
      <c r="M37" s="74">
        <f>Table14678[[#This Row],[Quantity]]*AB37-Table14678[[#This Row],[STOCK]]</f>
        <v>1000</v>
      </c>
      <c r="N37" s="82">
        <f>IF(Table14678[[#This Row],[Interim Value]]&lt;0,0,Table14678[[#This Row],[Interim Value]])</f>
        <v>1000</v>
      </c>
      <c r="O37" s="105">
        <f>Table14678[[#This Row],[Kitting Quantity]]*Table14678[[#This Row],[Total]]</f>
        <v>200</v>
      </c>
      <c r="P37" s="11"/>
      <c r="Q37" s="11" t="s">
        <v>367</v>
      </c>
      <c r="R37" s="310">
        <v>0</v>
      </c>
      <c r="S37" s="310">
        <f>Table14678[[#This Row],[shortage for 5k kit]]*Table14678[[#This Row],[Total]]</f>
        <v>0</v>
      </c>
      <c r="AB37">
        <f>Q1</f>
        <v>1000</v>
      </c>
    </row>
    <row r="38" spans="1:28">
      <c r="A38" s="15">
        <v>34</v>
      </c>
      <c r="B38" s="6" t="s">
        <v>352</v>
      </c>
      <c r="C38" s="40">
        <v>1</v>
      </c>
      <c r="D38" s="5"/>
      <c r="E38" s="83" t="s">
        <v>313</v>
      </c>
      <c r="F38" s="39" t="s">
        <v>314</v>
      </c>
      <c r="G38" s="39"/>
      <c r="H38" s="39"/>
      <c r="I38" s="39" t="s">
        <v>315</v>
      </c>
      <c r="J38" s="82">
        <v>9</v>
      </c>
      <c r="K38" s="82">
        <f>Table14678[[#This Row],[Unit Cost]]*Table14678[[#This Row],[Quantity]]</f>
        <v>9</v>
      </c>
      <c r="L38" s="82">
        <v>0</v>
      </c>
      <c r="M38" s="74">
        <f>Table14678[[#This Row],[Quantity]]*AB38-Table14678[[#This Row],[STOCK]]</f>
        <v>1000</v>
      </c>
      <c r="N38" s="82">
        <f>IF(Table14678[[#This Row],[Interim Value]]&lt;0,0,Table14678[[#This Row],[Interim Value]])</f>
        <v>1000</v>
      </c>
      <c r="O38" s="105">
        <f>Table14678[[#This Row],[Kitting Quantity]]*Table14678[[#This Row],[Total]]</f>
        <v>9000</v>
      </c>
      <c r="P38" s="11" t="s">
        <v>379</v>
      </c>
      <c r="Q38" s="11" t="s">
        <v>388</v>
      </c>
      <c r="R38" s="310">
        <v>0</v>
      </c>
      <c r="S38" s="310">
        <f>Table14678[[#This Row],[shortage for 5k kit]]*Table14678[[#This Row],[Total]]</f>
        <v>0</v>
      </c>
      <c r="AB38">
        <f>Q1</f>
        <v>1000</v>
      </c>
    </row>
    <row r="39" spans="1:28">
      <c r="A39" s="15">
        <v>35</v>
      </c>
      <c r="B39" s="72" t="s">
        <v>336</v>
      </c>
      <c r="C39" s="40">
        <v>1</v>
      </c>
      <c r="D39" s="41"/>
      <c r="E39" s="92" t="s">
        <v>355</v>
      </c>
      <c r="F39" s="11" t="s">
        <v>354</v>
      </c>
      <c r="G39" s="39"/>
      <c r="H39" s="39"/>
      <c r="I39" s="39" t="s">
        <v>316</v>
      </c>
      <c r="J39" s="82">
        <v>0.5</v>
      </c>
      <c r="K39" s="82">
        <f>Table14678[[#This Row],[Unit Cost]]*Table14678[[#This Row],[Quantity]]</f>
        <v>0.5</v>
      </c>
      <c r="L39" s="82">
        <v>0</v>
      </c>
      <c r="M39" s="74">
        <f>Table14678[[#This Row],[Quantity]]*AB39-Table14678[[#This Row],[STOCK]]</f>
        <v>1000</v>
      </c>
      <c r="N39" s="82">
        <f>IF(Table14678[[#This Row],[Interim Value]]&lt;0,0,Table14678[[#This Row],[Interim Value]])</f>
        <v>1000</v>
      </c>
      <c r="O39" s="105">
        <f>Table14678[[#This Row],[Kitting Quantity]]*Table14678[[#This Row],[Total]]</f>
        <v>500</v>
      </c>
      <c r="P39" s="11"/>
      <c r="Q39" s="11" t="s">
        <v>386</v>
      </c>
      <c r="R39" s="310">
        <v>0</v>
      </c>
      <c r="S39" s="310">
        <f>Table14678[[#This Row],[shortage for 5k kit]]*Table14678[[#This Row],[Total]]</f>
        <v>0</v>
      </c>
      <c r="AB39">
        <f>Q1</f>
        <v>1000</v>
      </c>
    </row>
    <row r="40" spans="1:28">
      <c r="A40" s="15">
        <v>36</v>
      </c>
      <c r="B40" s="72" t="s">
        <v>337</v>
      </c>
      <c r="C40" s="40">
        <v>1</v>
      </c>
      <c r="D40" s="41"/>
      <c r="E40" s="92" t="s">
        <v>356</v>
      </c>
      <c r="F40" s="26" t="s">
        <v>354</v>
      </c>
      <c r="G40" s="39"/>
      <c r="H40" s="39"/>
      <c r="I40" s="39" t="s">
        <v>316</v>
      </c>
      <c r="J40" s="82">
        <v>0.5</v>
      </c>
      <c r="K40" s="82">
        <f>Table14678[[#This Row],[Unit Cost]]*Table14678[[#This Row],[Quantity]]</f>
        <v>0.5</v>
      </c>
      <c r="L40" s="82">
        <v>0</v>
      </c>
      <c r="M40" s="74">
        <f>Table14678[[#This Row],[Quantity]]*AB40-Table14678[[#This Row],[STOCK]]</f>
        <v>1000</v>
      </c>
      <c r="N40" s="82">
        <f>IF(Table14678[[#This Row],[Interim Value]]&lt;0,0,Table14678[[#This Row],[Interim Value]])</f>
        <v>1000</v>
      </c>
      <c r="O40" s="105">
        <f>Table14678[[#This Row],[Kitting Quantity]]*Table14678[[#This Row],[Total]]</f>
        <v>500</v>
      </c>
      <c r="P40" s="11"/>
      <c r="Q40" s="11" t="s">
        <v>386</v>
      </c>
      <c r="R40" s="310">
        <v>0</v>
      </c>
      <c r="S40" s="310">
        <f>Table14678[[#This Row],[shortage for 5k kit]]*Table14678[[#This Row],[Total]]</f>
        <v>0</v>
      </c>
      <c r="AB40">
        <f>Q1</f>
        <v>1000</v>
      </c>
    </row>
    <row r="41" spans="1:28">
      <c r="A41" s="25">
        <v>37</v>
      </c>
      <c r="B41" s="72" t="s">
        <v>351</v>
      </c>
      <c r="C41" s="93">
        <v>1</v>
      </c>
      <c r="D41" s="94"/>
      <c r="E41" s="92" t="s">
        <v>350</v>
      </c>
      <c r="F41" s="26"/>
      <c r="G41" s="26"/>
      <c r="H41" s="26"/>
      <c r="I41" s="26"/>
      <c r="J41" s="72">
        <v>1.25</v>
      </c>
      <c r="K41" s="230">
        <f>Table14678[[#This Row],[Unit Cost]]*Table14678[[#This Row],[Quantity]]</f>
        <v>1.25</v>
      </c>
      <c r="L41" s="72">
        <v>0</v>
      </c>
      <c r="M41" s="74">
        <f>Table14678[[#This Row],[Quantity]]*AB41-Table14678[[#This Row],[STOCK]]</f>
        <v>1000</v>
      </c>
      <c r="N41" s="230">
        <f>IF(Table14678[[#This Row],[Interim Value]]&lt;0,0,Table14678[[#This Row],[Interim Value]])</f>
        <v>1000</v>
      </c>
      <c r="O41" s="105">
        <f>Table14678[[#This Row],[Kitting Quantity]]*Table14678[[#This Row],[Total]]</f>
        <v>1250</v>
      </c>
      <c r="P41" s="11"/>
      <c r="Q41" s="11" t="s">
        <v>367</v>
      </c>
      <c r="R41" s="310">
        <v>0</v>
      </c>
      <c r="S41" s="310">
        <f>Table14678[[#This Row],[shortage for 5k kit]]*Table14678[[#This Row],[Total]]</f>
        <v>0</v>
      </c>
      <c r="AB41">
        <f>Q1</f>
        <v>1000</v>
      </c>
    </row>
    <row r="42" spans="1:28">
      <c r="A42" s="25">
        <v>38</v>
      </c>
      <c r="B42" s="72" t="s">
        <v>349</v>
      </c>
      <c r="C42" s="93">
        <v>1</v>
      </c>
      <c r="D42" s="94"/>
      <c r="E42" s="92" t="s">
        <v>348</v>
      </c>
      <c r="F42" s="26"/>
      <c r="G42" s="26"/>
      <c r="H42" s="26"/>
      <c r="I42" s="26"/>
      <c r="J42" s="72">
        <v>0.3</v>
      </c>
      <c r="K42" s="230">
        <f>Table14678[[#This Row],[Unit Cost]]*Table14678[[#This Row],[Quantity]]</f>
        <v>0.3</v>
      </c>
      <c r="L42" s="72">
        <v>0</v>
      </c>
      <c r="M42" s="74">
        <f>Table14678[[#This Row],[Quantity]]*AB42-Table14678[[#This Row],[STOCK]]</f>
        <v>1000</v>
      </c>
      <c r="N42" s="230">
        <f>IF(Table14678[[#This Row],[Interim Value]]&lt;0,0,Table14678[[#This Row],[Interim Value]])</f>
        <v>1000</v>
      </c>
      <c r="O42" s="105">
        <f>Table14678[[#This Row],[Kitting Quantity]]*Table14678[[#This Row],[Total]]</f>
        <v>300</v>
      </c>
      <c r="P42" s="11"/>
      <c r="Q42" s="11" t="s">
        <v>367</v>
      </c>
      <c r="R42" s="310">
        <v>0</v>
      </c>
      <c r="S42" s="310">
        <f>Table14678[[#This Row],[shortage for 5k kit]]*Table14678[[#This Row],[Total]]</f>
        <v>0</v>
      </c>
      <c r="AB42">
        <f>Q1</f>
        <v>1000</v>
      </c>
    </row>
    <row r="43" spans="1:28">
      <c r="A43" s="25">
        <v>39</v>
      </c>
      <c r="B43" s="26"/>
      <c r="C43" s="93">
        <v>1</v>
      </c>
      <c r="D43" s="94"/>
      <c r="E43" s="209" t="s">
        <v>196</v>
      </c>
      <c r="F43" s="26"/>
      <c r="G43" s="26"/>
      <c r="H43" s="26"/>
      <c r="I43" s="26" t="s">
        <v>477</v>
      </c>
      <c r="J43" s="106">
        <v>12</v>
      </c>
      <c r="K43" s="230">
        <f>Table14678[[#This Row],[Unit Cost]]*Table14678[[#This Row],[Quantity]]</f>
        <v>12</v>
      </c>
      <c r="L43" s="106"/>
      <c r="M43" s="74">
        <f>Table14678[[#This Row],[Quantity]]*AB43-Table14678[[#This Row],[STOCK]]</f>
        <v>1000</v>
      </c>
      <c r="N43" s="106">
        <f>IF(Table14678[[#This Row],[Interim Value]]&lt;0,0,Table14678[[#This Row],[Interim Value]])</f>
        <v>1000</v>
      </c>
      <c r="O43" s="105">
        <f>Table14678[[#This Row],[Kitting Quantity]]*Table14678[[#This Row],[Total]]</f>
        <v>12000</v>
      </c>
      <c r="P43" s="26"/>
      <c r="Q43" s="11" t="s">
        <v>370</v>
      </c>
      <c r="R43" s="310">
        <v>0</v>
      </c>
      <c r="S43" s="310">
        <f>Table14678[[#This Row],[shortage for 5k kit]]*Table14678[[#This Row],[Total]]</f>
        <v>0</v>
      </c>
      <c r="AB43">
        <f>Q1</f>
        <v>1000</v>
      </c>
    </row>
    <row r="44" spans="1:28" ht="15.75" thickBot="1">
      <c r="A44" s="359" t="s">
        <v>189</v>
      </c>
      <c r="B44" s="360"/>
      <c r="C44" s="360"/>
      <c r="D44" s="360"/>
      <c r="E44" s="360"/>
      <c r="F44" s="360"/>
      <c r="G44" s="360"/>
      <c r="H44" s="360"/>
      <c r="I44" s="360"/>
      <c r="J44" s="360"/>
      <c r="K44" s="192">
        <f>SUBTOTAL(109,Table14678[Total])</f>
        <v>120.81</v>
      </c>
      <c r="L44" s="101"/>
      <c r="M44" s="341"/>
      <c r="N44" s="341"/>
      <c r="O44" s="150">
        <f>SUM(O6:O43)</f>
        <v>123480</v>
      </c>
    </row>
    <row r="47" spans="1:28" ht="15.75" thickBot="1"/>
    <row r="48" spans="1:28">
      <c r="B48" s="249" t="s">
        <v>509</v>
      </c>
      <c r="C48" s="255">
        <f>K42+K41+K37+K34+K21+K18</f>
        <v>37.25</v>
      </c>
      <c r="E48" s="249" t="s">
        <v>509</v>
      </c>
      <c r="F48" s="255">
        <f t="shared" ref="F48" si="0">N42+N41+N37+N34+N21+N18</f>
        <v>4000</v>
      </c>
      <c r="G48" s="249" t="s">
        <v>509</v>
      </c>
      <c r="H48" s="255" t="e">
        <f t="shared" ref="H48" si="1">P42+P41+P37+P34+P21+P18</f>
        <v>#VALUE!</v>
      </c>
      <c r="I48" s="249" t="s">
        <v>509</v>
      </c>
      <c r="J48" s="255">
        <f>O42+O41+O37+O34+O21+O18</f>
        <v>21750</v>
      </c>
    </row>
    <row r="49" spans="2:10">
      <c r="B49" s="250" t="s">
        <v>492</v>
      </c>
      <c r="C49" s="251">
        <v>0</v>
      </c>
      <c r="E49" s="250" t="s">
        <v>492</v>
      </c>
      <c r="F49" s="251">
        <v>0</v>
      </c>
      <c r="G49" s="250" t="s">
        <v>492</v>
      </c>
      <c r="H49" s="251">
        <v>0</v>
      </c>
      <c r="I49" s="250" t="s">
        <v>492</v>
      </c>
      <c r="J49" s="251">
        <v>0</v>
      </c>
    </row>
    <row r="50" spans="2:10">
      <c r="B50" s="250" t="s">
        <v>493</v>
      </c>
      <c r="C50" s="253">
        <f>K38</f>
        <v>9</v>
      </c>
      <c r="E50" s="250" t="s">
        <v>493</v>
      </c>
      <c r="F50" s="253">
        <f t="shared" ref="F50" si="2">N38</f>
        <v>1000</v>
      </c>
      <c r="G50" s="250" t="s">
        <v>493</v>
      </c>
      <c r="H50" s="253" t="str">
        <f t="shared" ref="H50" si="3">P38</f>
        <v>VANSH ELECTRO</v>
      </c>
      <c r="I50" s="250" t="s">
        <v>493</v>
      </c>
      <c r="J50" s="253">
        <f>O38</f>
        <v>9000</v>
      </c>
    </row>
    <row r="51" spans="2:10">
      <c r="B51" s="250" t="s">
        <v>490</v>
      </c>
      <c r="C51" s="253">
        <f>K40+K39+K20+K12+K11+K9</f>
        <v>15.31</v>
      </c>
      <c r="E51" s="250" t="s">
        <v>490</v>
      </c>
      <c r="F51" s="253">
        <f t="shared" ref="F51" si="4">N40+N39+N20+N12+N11+N9</f>
        <v>5000</v>
      </c>
      <c r="G51" s="250" t="s">
        <v>490</v>
      </c>
      <c r="H51" s="253" t="e">
        <f t="shared" ref="H51" si="5">P40+P39+P20+P12+P11+P9</f>
        <v>#VALUE!</v>
      </c>
      <c r="I51" s="250" t="s">
        <v>490</v>
      </c>
      <c r="J51" s="253">
        <f>O40+O39+O20+O12+O11+O9</f>
        <v>21630</v>
      </c>
    </row>
    <row r="52" spans="2:10">
      <c r="B52" s="250" t="s">
        <v>494</v>
      </c>
      <c r="C52" s="253">
        <f>K43+K36+K35+K31+K30+K29+K28+K27+K26+K25+K24+K23+K22+K19+K17+K16+K15+K14+K13+K10+K8+K7+K6</f>
        <v>47.25</v>
      </c>
      <c r="E52" s="250" t="s">
        <v>494</v>
      </c>
      <c r="F52" s="253">
        <f t="shared" ref="F52" si="6">N43+N36+N35+N31+N30+N29+N28+N27+N26+N25+N24+N23+N22+N19+N17+N16+N15+N14+N13+N10+N8+N7+N6</f>
        <v>24000</v>
      </c>
      <c r="G52" s="250" t="s">
        <v>494</v>
      </c>
      <c r="H52" s="253" t="e">
        <f t="shared" ref="H52" si="7">P43+P36+P35+P31+P30+P29+P28+P27+P26+P25+P24+P23+P22+P19+P17+P16+P15+P14+P13+P10+P8+P7+P6</f>
        <v>#VALUE!</v>
      </c>
      <c r="I52" s="250" t="s">
        <v>494</v>
      </c>
      <c r="J52" s="253">
        <f>O43+O36+O35+O31+O30+O29+O28+O27+O26+O25+O24+O23+O22+O19+O17+O16+O15+O14+O13+O10+O8+O7+O6</f>
        <v>59100</v>
      </c>
    </row>
    <row r="53" spans="2:10" ht="15.75" thickBot="1">
      <c r="B53" s="252" t="s">
        <v>495</v>
      </c>
      <c r="C53" s="254">
        <f>K33</f>
        <v>12</v>
      </c>
      <c r="E53" s="252" t="s">
        <v>495</v>
      </c>
      <c r="F53" s="254">
        <f t="shared" ref="F53" si="8">N33</f>
        <v>1000</v>
      </c>
      <c r="G53" s="252" t="s">
        <v>495</v>
      </c>
      <c r="H53" s="254" t="str">
        <f t="shared" ref="H53" si="9">P33</f>
        <v>METRONIX</v>
      </c>
      <c r="I53" s="252" t="s">
        <v>495</v>
      </c>
      <c r="J53" s="254">
        <f>O33</f>
        <v>12000</v>
      </c>
    </row>
    <row r="54" spans="2:10">
      <c r="C54" s="198">
        <f>SUM(C48:C53)</f>
        <v>120.81</v>
      </c>
      <c r="J54" s="198">
        <f>SUM(J48:J53)</f>
        <v>123480</v>
      </c>
    </row>
  </sheetData>
  <mergeCells count="6">
    <mergeCell ref="A1:B1"/>
    <mergeCell ref="C1:D1"/>
    <mergeCell ref="A3:O3"/>
    <mergeCell ref="A4:O4"/>
    <mergeCell ref="A44:J44"/>
    <mergeCell ref="N1:O1"/>
  </mergeCells>
  <pageMargins left="0.7" right="0.7" top="0.75" bottom="0.75" header="0.3" footer="0.3"/>
  <pageSetup scale="58" orientation="landscape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E54"/>
  <sheetViews>
    <sheetView topLeftCell="A31" workbookViewId="0">
      <selection activeCell="L1" sqref="L1:O1"/>
    </sheetView>
  </sheetViews>
  <sheetFormatPr defaultRowHeight="15"/>
  <cols>
    <col min="2" max="2" width="17.42578125" customWidth="1"/>
    <col min="3" max="3" width="12.42578125" bestFit="1" customWidth="1"/>
    <col min="4" max="4" width="13.5703125" bestFit="1" customWidth="1"/>
    <col min="5" max="5" width="25.7109375" customWidth="1"/>
    <col min="6" max="6" width="37.28515625" hidden="1" customWidth="1"/>
    <col min="7" max="7" width="13.28515625" hidden="1" customWidth="1"/>
    <col min="8" max="8" width="25.140625" hidden="1" customWidth="1"/>
    <col min="9" max="9" width="24.28515625" hidden="1" customWidth="1"/>
    <col min="10" max="10" width="19.28515625" bestFit="1" customWidth="1"/>
    <col min="11" max="11" width="9.42578125" bestFit="1" customWidth="1"/>
    <col min="12" max="12" width="10.5703125" bestFit="1" customWidth="1"/>
    <col min="13" max="13" width="16.28515625" bestFit="1" customWidth="1"/>
    <col min="14" max="14" width="18.140625" bestFit="1" customWidth="1"/>
    <col min="15" max="15" width="13" customWidth="1"/>
    <col min="16" max="16" width="18.140625" customWidth="1"/>
    <col min="17" max="17" width="19" customWidth="1"/>
    <col min="18" max="18" width="20" customWidth="1"/>
    <col min="19" max="19" width="15" customWidth="1"/>
    <col min="31" max="31" width="9.140625" style="1"/>
  </cols>
  <sheetData>
    <row r="1" spans="1:31" ht="19.5" thickBot="1">
      <c r="A1" s="348" t="s">
        <v>138</v>
      </c>
      <c r="B1" s="348"/>
      <c r="C1" s="349" t="s">
        <v>468</v>
      </c>
      <c r="D1" s="349"/>
      <c r="E1" s="7"/>
      <c r="F1" s="362" t="s">
        <v>482</v>
      </c>
      <c r="G1" s="363"/>
      <c r="H1" s="363"/>
      <c r="I1" s="102"/>
      <c r="J1" s="73"/>
      <c r="K1" s="73"/>
      <c r="L1" s="395" t="s">
        <v>514</v>
      </c>
      <c r="M1" s="396"/>
      <c r="N1" s="333"/>
      <c r="O1" s="327">
        <f>'Detail-Planner'!E11</f>
        <v>1000</v>
      </c>
    </row>
    <row r="2" spans="1:31">
      <c r="A2" s="102"/>
      <c r="B2" s="102"/>
      <c r="C2" s="102"/>
      <c r="D2" s="102"/>
      <c r="E2" s="7"/>
      <c r="F2" s="102"/>
      <c r="G2" s="102"/>
      <c r="H2" s="102"/>
      <c r="I2" s="102"/>
      <c r="J2" s="73"/>
      <c r="K2" s="73"/>
      <c r="L2" s="73"/>
      <c r="M2" s="73"/>
      <c r="N2" s="73"/>
      <c r="O2" s="73"/>
    </row>
    <row r="3" spans="1:31">
      <c r="A3" s="350" t="s">
        <v>465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31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31">
      <c r="A5" s="22" t="s">
        <v>0</v>
      </c>
      <c r="B5" s="85" t="s">
        <v>139</v>
      </c>
      <c r="C5" s="23" t="s">
        <v>1</v>
      </c>
      <c r="D5" s="23" t="s">
        <v>2</v>
      </c>
      <c r="E5" s="23" t="s">
        <v>3</v>
      </c>
      <c r="F5" s="23" t="s">
        <v>140</v>
      </c>
      <c r="G5" s="23" t="s">
        <v>141</v>
      </c>
      <c r="H5" s="23" t="s">
        <v>142</v>
      </c>
      <c r="I5" s="23" t="s">
        <v>143</v>
      </c>
      <c r="J5" s="86" t="s">
        <v>470</v>
      </c>
      <c r="K5" s="86" t="s">
        <v>476</v>
      </c>
      <c r="L5" s="145" t="s">
        <v>347</v>
      </c>
      <c r="M5" s="399" t="s">
        <v>517</v>
      </c>
      <c r="N5" s="399" t="s">
        <v>514</v>
      </c>
      <c r="O5" s="86" t="s">
        <v>144</v>
      </c>
      <c r="P5" s="151" t="s">
        <v>360</v>
      </c>
      <c r="Q5" s="151" t="s">
        <v>361</v>
      </c>
      <c r="R5" s="309" t="s">
        <v>511</v>
      </c>
      <c r="S5" s="309" t="s">
        <v>471</v>
      </c>
    </row>
    <row r="6" spans="1:31">
      <c r="A6" s="24">
        <v>1</v>
      </c>
      <c r="B6" s="84" t="s">
        <v>317</v>
      </c>
      <c r="C6" s="35">
        <v>4</v>
      </c>
      <c r="D6" s="71" t="s">
        <v>255</v>
      </c>
      <c r="E6" s="36" t="s">
        <v>236</v>
      </c>
      <c r="F6" s="72" t="s">
        <v>265</v>
      </c>
      <c r="G6" s="77">
        <v>0.1</v>
      </c>
      <c r="H6" s="36" t="s">
        <v>282</v>
      </c>
      <c r="I6" s="72" t="s">
        <v>292</v>
      </c>
      <c r="J6" s="74">
        <v>0.35</v>
      </c>
      <c r="K6" s="149">
        <f>Table146710[[#This Row],[Unit Cost]]*Table146710[[#This Row],[Quantity]]</f>
        <v>1.4</v>
      </c>
      <c r="L6" s="74">
        <v>0</v>
      </c>
      <c r="M6" s="74">
        <f>Table146710[[#This Row],[Quantity]]*AE6-Table146710[[#This Row],[STOCK]]</f>
        <v>4000</v>
      </c>
      <c r="N6" s="74">
        <f>IF(Table146710[[#This Row],[Interim Value]]&lt;0,0,Table146710[[#This Row],[Interim Value]])</f>
        <v>4000</v>
      </c>
      <c r="O6" s="105">
        <f>Table146710[[#This Row],[Kitting Quantity]]*Table146710[[#This Row],[Total]]</f>
        <v>5600</v>
      </c>
      <c r="P6" s="11" t="s">
        <v>292</v>
      </c>
      <c r="Q6" s="11" t="s">
        <v>370</v>
      </c>
      <c r="R6" s="310">
        <v>0</v>
      </c>
      <c r="S6" s="311">
        <f>Table146710[[#This Row],[shortage for 5k kit]]*Table146710[[#This Row],[Total]]</f>
        <v>0</v>
      </c>
      <c r="AE6" s="1">
        <f>O1</f>
        <v>1000</v>
      </c>
    </row>
    <row r="7" spans="1:31" s="190" customFormat="1" ht="15.75" thickBot="1">
      <c r="A7" s="177">
        <v>2</v>
      </c>
      <c r="B7" s="178" t="s">
        <v>460</v>
      </c>
      <c r="C7" s="179">
        <v>2</v>
      </c>
      <c r="D7" s="180" t="s">
        <v>256</v>
      </c>
      <c r="E7" s="81" t="s">
        <v>457</v>
      </c>
      <c r="F7" s="181" t="s">
        <v>400</v>
      </c>
      <c r="G7" s="182">
        <v>0.05</v>
      </c>
      <c r="H7" s="180" t="s">
        <v>393</v>
      </c>
      <c r="I7" s="183" t="s">
        <v>292</v>
      </c>
      <c r="J7" s="184">
        <v>2.75</v>
      </c>
      <c r="K7" s="149">
        <f>Table146710[[#This Row],[Unit Cost]]*Table146710[[#This Row],[Quantity]]</f>
        <v>5.5</v>
      </c>
      <c r="L7" s="184">
        <v>0</v>
      </c>
      <c r="M7" s="184">
        <f>Table146710[[#This Row],[Quantity]]*AE7-Table146710[[#This Row],[STOCK]]</f>
        <v>2000</v>
      </c>
      <c r="N7" s="184">
        <f>IF(Table146710[[#This Row],[Interim Value]]&lt;0,0,Table146710[[#This Row],[Interim Value]])</f>
        <v>2000</v>
      </c>
      <c r="O7" s="185">
        <f>Table146710[[#This Row],[Kitting Quantity]]*Table146710[[#This Row],[Total]]</f>
        <v>11000</v>
      </c>
      <c r="P7" s="186" t="s">
        <v>292</v>
      </c>
      <c r="Q7" s="186" t="s">
        <v>370</v>
      </c>
      <c r="R7" s="310">
        <v>5000</v>
      </c>
      <c r="S7" s="311">
        <f>Table146710[[#This Row],[shortage for 5k kit]]*Table146710[[#This Row],[Total]]</f>
        <v>27500</v>
      </c>
      <c r="AE7" s="190">
        <f>O1</f>
        <v>1000</v>
      </c>
    </row>
    <row r="8" spans="1:31">
      <c r="A8" s="24">
        <v>3</v>
      </c>
      <c r="B8" s="11" t="s">
        <v>12</v>
      </c>
      <c r="C8" s="35">
        <v>1</v>
      </c>
      <c r="D8" s="36" t="s">
        <v>17</v>
      </c>
      <c r="E8" s="36" t="s">
        <v>149</v>
      </c>
      <c r="F8" s="36" t="s">
        <v>266</v>
      </c>
      <c r="G8" s="77">
        <v>0.05</v>
      </c>
      <c r="H8" s="36" t="s">
        <v>283</v>
      </c>
      <c r="I8" s="72" t="s">
        <v>293</v>
      </c>
      <c r="J8" s="74">
        <v>0.6</v>
      </c>
      <c r="K8" s="149">
        <f>Table146710[[#This Row],[Unit Cost]]*Table146710[[#This Row],[Quantity]]</f>
        <v>0.6</v>
      </c>
      <c r="L8" s="74">
        <v>0</v>
      </c>
      <c r="M8" s="74">
        <f>Table146710[[#This Row],[Quantity]]*AE8-Table146710[[#This Row],[STOCK]]</f>
        <v>1000</v>
      </c>
      <c r="N8" s="74">
        <f>IF(Table146710[[#This Row],[Interim Value]]&lt;0,0,Table146710[[#This Row],[Interim Value]])</f>
        <v>1000</v>
      </c>
      <c r="O8" s="105">
        <f>Table146710[[#This Row],[Kitting Quantity]]*Table146710[[#This Row],[Total]]</f>
        <v>600</v>
      </c>
      <c r="P8" s="11" t="s">
        <v>382</v>
      </c>
      <c r="Q8" s="11" t="s">
        <v>370</v>
      </c>
      <c r="R8" s="310">
        <v>3000</v>
      </c>
      <c r="S8" s="311">
        <f>Table146710[[#This Row],[shortage for 5k kit]]*Table146710[[#This Row],[Total]]</f>
        <v>1800</v>
      </c>
      <c r="AE8" s="1">
        <f>O1</f>
        <v>1000</v>
      </c>
    </row>
    <row r="9" spans="1:31" s="1" customFormat="1">
      <c r="A9" s="24">
        <v>4</v>
      </c>
      <c r="B9" s="84" t="s">
        <v>318</v>
      </c>
      <c r="C9" s="35">
        <v>1</v>
      </c>
      <c r="D9" s="36" t="s">
        <v>24</v>
      </c>
      <c r="E9" s="71" t="s">
        <v>237</v>
      </c>
      <c r="F9" s="36" t="s">
        <v>267</v>
      </c>
      <c r="G9" s="77">
        <v>0.1</v>
      </c>
      <c r="H9" s="36" t="s">
        <v>284</v>
      </c>
      <c r="I9" s="72" t="s">
        <v>293</v>
      </c>
      <c r="J9" s="74">
        <v>0.72</v>
      </c>
      <c r="K9" s="149">
        <f>Table146710[[#This Row],[Unit Cost]]*Table146710[[#This Row],[Quantity]]</f>
        <v>0.72</v>
      </c>
      <c r="L9" s="74">
        <v>0</v>
      </c>
      <c r="M9" s="74">
        <f>Table146710[[#This Row],[Quantity]]*AE9-Table146710[[#This Row],[STOCK]]</f>
        <v>1000</v>
      </c>
      <c r="N9" s="74">
        <f>IF(Table146710[[#This Row],[Interim Value]]&lt;0,0,Table146710[[#This Row],[Interim Value]])</f>
        <v>1000</v>
      </c>
      <c r="O9" s="105">
        <f>Table146710[[#This Row],[Kitting Quantity]]*Table146710[[#This Row],[Total]]</f>
        <v>720</v>
      </c>
      <c r="P9" s="11" t="s">
        <v>383</v>
      </c>
      <c r="Q9" s="11" t="s">
        <v>373</v>
      </c>
      <c r="R9" s="310">
        <v>0</v>
      </c>
      <c r="S9" s="311">
        <f>Table146710[[#This Row],[shortage for 5k kit]]*Table146710[[#This Row],[Total]]</f>
        <v>0</v>
      </c>
      <c r="AE9" s="1">
        <f>O1</f>
        <v>1000</v>
      </c>
    </row>
    <row r="10" spans="1:31">
      <c r="A10" s="24">
        <v>5</v>
      </c>
      <c r="B10" s="84" t="s">
        <v>319</v>
      </c>
      <c r="C10" s="35">
        <v>1</v>
      </c>
      <c r="D10" s="36" t="s">
        <v>97</v>
      </c>
      <c r="E10" s="36" t="s">
        <v>238</v>
      </c>
      <c r="F10" s="36" t="s">
        <v>268</v>
      </c>
      <c r="G10" s="77">
        <v>0.05</v>
      </c>
      <c r="H10" s="36" t="s">
        <v>283</v>
      </c>
      <c r="I10" s="72" t="s">
        <v>292</v>
      </c>
      <c r="J10" s="74">
        <v>0.5</v>
      </c>
      <c r="K10" s="149">
        <f>Table146710[[#This Row],[Unit Cost]]*Table146710[[#This Row],[Quantity]]</f>
        <v>0.5</v>
      </c>
      <c r="L10" s="74">
        <v>0</v>
      </c>
      <c r="M10" s="74">
        <f>Table146710[[#This Row],[Quantity]]*AE10-Table146710[[#This Row],[STOCK]]</f>
        <v>1000</v>
      </c>
      <c r="N10" s="74">
        <f>IF(Table146710[[#This Row],[Interim Value]]&lt;0,0,Table146710[[#This Row],[Interim Value]])</f>
        <v>1000</v>
      </c>
      <c r="O10" s="105">
        <f>Table146710[[#This Row],[Kitting Quantity]]*Table146710[[#This Row],[Total]]</f>
        <v>500</v>
      </c>
      <c r="P10" s="11" t="s">
        <v>292</v>
      </c>
      <c r="Q10" s="11" t="s">
        <v>370</v>
      </c>
      <c r="R10" s="310">
        <v>0</v>
      </c>
      <c r="S10" s="311">
        <f>Table146710[[#This Row],[shortage for 5k kit]]*Table146710[[#This Row],[Total]]</f>
        <v>0</v>
      </c>
      <c r="AE10" s="1">
        <f>O1</f>
        <v>1000</v>
      </c>
    </row>
    <row r="11" spans="1:31" s="1" customFormat="1">
      <c r="A11" s="24">
        <v>6</v>
      </c>
      <c r="B11" s="84" t="s">
        <v>19</v>
      </c>
      <c r="C11" s="35">
        <v>1</v>
      </c>
      <c r="D11" s="36" t="s">
        <v>95</v>
      </c>
      <c r="E11" s="36" t="s">
        <v>239</v>
      </c>
      <c r="F11" s="71" t="s">
        <v>269</v>
      </c>
      <c r="G11" s="77">
        <v>0.05</v>
      </c>
      <c r="H11" s="36" t="s">
        <v>284</v>
      </c>
      <c r="I11" s="72" t="s">
        <v>293</v>
      </c>
      <c r="J11" s="74">
        <v>0.63</v>
      </c>
      <c r="K11" s="149">
        <f>Table146710[[#This Row],[Unit Cost]]*Table146710[[#This Row],[Quantity]]</f>
        <v>0.63</v>
      </c>
      <c r="L11" s="74">
        <v>0</v>
      </c>
      <c r="M11" s="74">
        <f>Table146710[[#This Row],[Quantity]]*AE11-Table146710[[#This Row],[STOCK]]</f>
        <v>1000</v>
      </c>
      <c r="N11" s="74">
        <f>IF(Table146710[[#This Row],[Interim Value]]&lt;0,0,Table146710[[#This Row],[Interim Value]])</f>
        <v>1000</v>
      </c>
      <c r="O11" s="105">
        <f>Table146710[[#This Row],[Kitting Quantity]]*Table146710[[#This Row],[Total]]</f>
        <v>630</v>
      </c>
      <c r="P11" s="11" t="s">
        <v>383</v>
      </c>
      <c r="Q11" s="11" t="s">
        <v>373</v>
      </c>
      <c r="R11" s="310">
        <v>0</v>
      </c>
      <c r="S11" s="311">
        <f>Table146710[[#This Row],[shortage for 5k kit]]*Table146710[[#This Row],[Total]]</f>
        <v>0</v>
      </c>
      <c r="AE11" s="1">
        <f>O1</f>
        <v>1000</v>
      </c>
    </row>
    <row r="12" spans="1:31">
      <c r="A12" s="24">
        <v>7</v>
      </c>
      <c r="B12" s="72" t="s">
        <v>320</v>
      </c>
      <c r="C12" s="35">
        <v>1</v>
      </c>
      <c r="D12" s="36" t="s">
        <v>22</v>
      </c>
      <c r="E12" s="71" t="s">
        <v>298</v>
      </c>
      <c r="F12" s="71" t="s">
        <v>270</v>
      </c>
      <c r="G12" s="77">
        <v>0.1</v>
      </c>
      <c r="H12" s="36" t="s">
        <v>284</v>
      </c>
      <c r="I12" s="72" t="s">
        <v>293</v>
      </c>
      <c r="J12" s="74">
        <v>2.9</v>
      </c>
      <c r="K12" s="149">
        <f>Table146710[[#This Row],[Unit Cost]]*Table146710[[#This Row],[Quantity]]</f>
        <v>2.9</v>
      </c>
      <c r="L12" s="74">
        <v>0</v>
      </c>
      <c r="M12" s="74">
        <f>Table146710[[#This Row],[Quantity]]*AE12-Table146710[[#This Row],[STOCK]]</f>
        <v>1000</v>
      </c>
      <c r="N12" s="74">
        <f>IF(Table146710[[#This Row],[Interim Value]]&lt;0,0,Table146710[[#This Row],[Interim Value]])</f>
        <v>1000</v>
      </c>
      <c r="O12" s="105">
        <f>Table146710[[#This Row],[Kitting Quantity]]*Table146710[[#This Row],[Total]]</f>
        <v>2900</v>
      </c>
      <c r="P12" s="11" t="s">
        <v>383</v>
      </c>
      <c r="Q12" s="11" t="s">
        <v>373</v>
      </c>
      <c r="R12" s="310">
        <v>15</v>
      </c>
      <c r="S12" s="311">
        <f>Table146710[[#This Row],[shortage for 5k kit]]*Table146710[[#This Row],[Total]]</f>
        <v>43.5</v>
      </c>
      <c r="AE12" s="1">
        <f>O1</f>
        <v>1000</v>
      </c>
    </row>
    <row r="13" spans="1:31">
      <c r="A13" s="24">
        <v>8</v>
      </c>
      <c r="B13" s="84" t="s">
        <v>38</v>
      </c>
      <c r="C13" s="35">
        <v>2</v>
      </c>
      <c r="D13" s="36" t="s">
        <v>257</v>
      </c>
      <c r="E13" s="36" t="s">
        <v>241</v>
      </c>
      <c r="F13" s="36" t="s">
        <v>271</v>
      </c>
      <c r="G13" s="72"/>
      <c r="H13" s="36" t="s">
        <v>285</v>
      </c>
      <c r="I13" s="72" t="s">
        <v>292</v>
      </c>
      <c r="J13" s="74">
        <v>3</v>
      </c>
      <c r="K13" s="149">
        <f>Table146710[[#This Row],[Unit Cost]]*Table146710[[#This Row],[Quantity]]</f>
        <v>6</v>
      </c>
      <c r="L13" s="74">
        <v>0</v>
      </c>
      <c r="M13" s="74">
        <f>Table146710[[#This Row],[Quantity]]*AE13-Table146710[[#This Row],[STOCK]]</f>
        <v>2000</v>
      </c>
      <c r="N13" s="74">
        <f>IF(Table146710[[#This Row],[Interim Value]]&lt;0,0,Table146710[[#This Row],[Interim Value]])</f>
        <v>2000</v>
      </c>
      <c r="O13" s="105">
        <f>Table146710[[#This Row],[Kitting Quantity]]*Table146710[[#This Row],[Total]]</f>
        <v>12000</v>
      </c>
      <c r="P13" s="11" t="s">
        <v>292</v>
      </c>
      <c r="Q13" s="11" t="s">
        <v>370</v>
      </c>
      <c r="R13" s="310">
        <v>10000</v>
      </c>
      <c r="S13" s="311">
        <f>Table146710[[#This Row],[shortage for 5k kit]]*Table146710[[#This Row],[Total]]</f>
        <v>60000</v>
      </c>
      <c r="AE13" s="1">
        <f>O1</f>
        <v>1000</v>
      </c>
    </row>
    <row r="14" spans="1:31" s="1" customFormat="1">
      <c r="A14" s="24">
        <v>9</v>
      </c>
      <c r="B14" s="72" t="s">
        <v>343</v>
      </c>
      <c r="C14" s="35">
        <v>1</v>
      </c>
      <c r="D14" s="36" t="s">
        <v>87</v>
      </c>
      <c r="E14" s="31" t="s">
        <v>307</v>
      </c>
      <c r="F14" s="71" t="s">
        <v>272</v>
      </c>
      <c r="G14" s="77">
        <v>0.1</v>
      </c>
      <c r="H14" s="36" t="s">
        <v>286</v>
      </c>
      <c r="I14" s="72" t="s">
        <v>293</v>
      </c>
      <c r="J14" s="74">
        <v>2.75</v>
      </c>
      <c r="K14" s="149">
        <f>Table146710[[#This Row],[Unit Cost]]*Table146710[[#This Row],[Quantity]]</f>
        <v>2.75</v>
      </c>
      <c r="L14" s="74">
        <v>0</v>
      </c>
      <c r="M14" s="74">
        <f>Table146710[[#This Row],[Quantity]]*AE14-Table146710[[#This Row],[STOCK]]</f>
        <v>1000</v>
      </c>
      <c r="N14" s="74">
        <f>IF(Table146710[[#This Row],[Interim Value]]&lt;0,0,Table146710[[#This Row],[Interim Value]])</f>
        <v>1000</v>
      </c>
      <c r="O14" s="105">
        <f>Table146710[[#This Row],[Kitting Quantity]]*Table146710[[#This Row],[Total]]</f>
        <v>2750</v>
      </c>
      <c r="P14" s="11" t="s">
        <v>292</v>
      </c>
      <c r="Q14" s="11" t="s">
        <v>370</v>
      </c>
      <c r="R14" s="310">
        <v>0</v>
      </c>
      <c r="S14" s="311">
        <f>Table146710[[#This Row],[shortage for 5k kit]]*Table146710[[#This Row],[Total]]</f>
        <v>0</v>
      </c>
      <c r="AE14" s="1">
        <f>O1</f>
        <v>1000</v>
      </c>
    </row>
    <row r="15" spans="1:31">
      <c r="A15" s="24">
        <v>10</v>
      </c>
      <c r="B15" s="84" t="s">
        <v>322</v>
      </c>
      <c r="C15" s="35">
        <v>1</v>
      </c>
      <c r="D15" s="36" t="s">
        <v>100</v>
      </c>
      <c r="E15" s="36" t="s">
        <v>243</v>
      </c>
      <c r="F15" s="71" t="s">
        <v>273</v>
      </c>
      <c r="G15" s="77"/>
      <c r="H15" s="36"/>
      <c r="I15" s="72" t="s">
        <v>293</v>
      </c>
      <c r="J15" s="74">
        <v>1.75</v>
      </c>
      <c r="K15" s="149">
        <f>Table146710[[#This Row],[Unit Cost]]*Table146710[[#This Row],[Quantity]]</f>
        <v>1.75</v>
      </c>
      <c r="L15" s="74">
        <v>0</v>
      </c>
      <c r="M15" s="74">
        <f>Table146710[[#This Row],[Quantity]]*AE15-Table146710[[#This Row],[STOCK]]</f>
        <v>1000</v>
      </c>
      <c r="N15" s="74">
        <f>IF(Table146710[[#This Row],[Interim Value]]&lt;0,0,Table146710[[#This Row],[Interim Value]])</f>
        <v>1000</v>
      </c>
      <c r="O15" s="105">
        <f>Table146710[[#This Row],[Kitting Quantity]]*Table146710[[#This Row],[Total]]</f>
        <v>1750</v>
      </c>
      <c r="P15" s="11" t="s">
        <v>382</v>
      </c>
      <c r="Q15" s="11" t="s">
        <v>370</v>
      </c>
      <c r="R15" s="310">
        <v>0</v>
      </c>
      <c r="S15" s="311">
        <f>Table146710[[#This Row],[shortage for 5k kit]]*Table146710[[#This Row],[Total]]</f>
        <v>0</v>
      </c>
      <c r="AE15" s="1">
        <f>O1</f>
        <v>1000</v>
      </c>
    </row>
    <row r="16" spans="1:31">
      <c r="A16" s="24">
        <v>11</v>
      </c>
      <c r="B16" s="84" t="s">
        <v>323</v>
      </c>
      <c r="C16" s="35">
        <v>1</v>
      </c>
      <c r="D16" s="36" t="s">
        <v>258</v>
      </c>
      <c r="E16" s="36" t="s">
        <v>244</v>
      </c>
      <c r="F16" s="71" t="s">
        <v>274</v>
      </c>
      <c r="G16" s="77"/>
      <c r="H16" s="36" t="s">
        <v>287</v>
      </c>
      <c r="I16" s="72" t="s">
        <v>292</v>
      </c>
      <c r="J16" s="74">
        <v>0.65</v>
      </c>
      <c r="K16" s="149">
        <f>Table146710[[#This Row],[Unit Cost]]*Table146710[[#This Row],[Quantity]]</f>
        <v>0.65</v>
      </c>
      <c r="L16" s="74">
        <v>0</v>
      </c>
      <c r="M16" s="74">
        <f>Table146710[[#This Row],[Quantity]]*AE16-Table146710[[#This Row],[STOCK]]</f>
        <v>1000</v>
      </c>
      <c r="N16" s="74">
        <f>IF(Table146710[[#This Row],[Interim Value]]&lt;0,0,Table146710[[#This Row],[Interim Value]])</f>
        <v>1000</v>
      </c>
      <c r="O16" s="105">
        <f>Table146710[[#This Row],[Kitting Quantity]]*Table146710[[#This Row],[Total]]</f>
        <v>650</v>
      </c>
      <c r="P16" s="11" t="s">
        <v>292</v>
      </c>
      <c r="Q16" s="11" t="s">
        <v>370</v>
      </c>
      <c r="R16" s="310">
        <v>0</v>
      </c>
      <c r="S16" s="311">
        <f>Table146710[[#This Row],[shortage for 5k kit]]*Table146710[[#This Row],[Total]]</f>
        <v>0</v>
      </c>
      <c r="AE16" s="1">
        <f>O1</f>
        <v>1000</v>
      </c>
    </row>
    <row r="17" spans="1:31">
      <c r="A17" s="24">
        <v>12</v>
      </c>
      <c r="B17" s="84" t="s">
        <v>323</v>
      </c>
      <c r="C17" s="35">
        <v>1</v>
      </c>
      <c r="D17" s="36" t="s">
        <v>259</v>
      </c>
      <c r="E17" s="36" t="s">
        <v>244</v>
      </c>
      <c r="F17" s="71" t="s">
        <v>274</v>
      </c>
      <c r="G17" s="72"/>
      <c r="H17" s="36" t="s">
        <v>287</v>
      </c>
      <c r="I17" s="72" t="s">
        <v>292</v>
      </c>
      <c r="J17" s="74">
        <v>0.65</v>
      </c>
      <c r="K17" s="149">
        <f>Table146710[[#This Row],[Unit Cost]]*Table146710[[#This Row],[Quantity]]</f>
        <v>0.65</v>
      </c>
      <c r="L17" s="74">
        <v>0</v>
      </c>
      <c r="M17" s="74">
        <f>Table146710[[#This Row],[Quantity]]*AE17-Table146710[[#This Row],[STOCK]]</f>
        <v>1000</v>
      </c>
      <c r="N17" s="74">
        <f>IF(Table146710[[#This Row],[Interim Value]]&lt;0,0,Table146710[[#This Row],[Interim Value]])</f>
        <v>1000</v>
      </c>
      <c r="O17" s="105">
        <f>Table146710[[#This Row],[Kitting Quantity]]*Table146710[[#This Row],[Total]]</f>
        <v>650</v>
      </c>
      <c r="P17" s="11" t="s">
        <v>292</v>
      </c>
      <c r="Q17" s="11" t="s">
        <v>370</v>
      </c>
      <c r="R17" s="310">
        <v>0</v>
      </c>
      <c r="S17" s="311">
        <f>Table146710[[#This Row],[shortage for 5k kit]]*Table146710[[#This Row],[Total]]</f>
        <v>0</v>
      </c>
      <c r="AE17" s="1">
        <f>O1</f>
        <v>1000</v>
      </c>
    </row>
    <row r="18" spans="1:31" s="1" customFormat="1">
      <c r="A18" s="24">
        <v>13</v>
      </c>
      <c r="B18" s="84" t="s">
        <v>27</v>
      </c>
      <c r="C18" s="35">
        <v>1</v>
      </c>
      <c r="D18" s="36" t="s">
        <v>260</v>
      </c>
      <c r="E18" s="36" t="s">
        <v>29</v>
      </c>
      <c r="F18" s="36" t="s">
        <v>164</v>
      </c>
      <c r="G18" s="72"/>
      <c r="H18" s="71" t="s">
        <v>288</v>
      </c>
      <c r="I18" s="72" t="s">
        <v>293</v>
      </c>
      <c r="J18" s="74">
        <v>3.5</v>
      </c>
      <c r="K18" s="149">
        <f>Table146710[[#This Row],[Unit Cost]]*Table146710[[#This Row],[Quantity]]</f>
        <v>3.5</v>
      </c>
      <c r="L18" s="74">
        <v>0</v>
      </c>
      <c r="M18" s="74">
        <f>Table146710[[#This Row],[Quantity]]*AE18-Table146710[[#This Row],[STOCK]]</f>
        <v>1000</v>
      </c>
      <c r="N18" s="74">
        <f>IF(Table146710[[#This Row],[Interim Value]]&lt;0,0,Table146710[[#This Row],[Interim Value]])</f>
        <v>1000</v>
      </c>
      <c r="O18" s="105">
        <f>Table146710[[#This Row],[Kitting Quantity]]*Table146710[[#This Row],[Total]]</f>
        <v>3500</v>
      </c>
      <c r="P18" s="11" t="s">
        <v>292</v>
      </c>
      <c r="Q18" s="11" t="s">
        <v>370</v>
      </c>
      <c r="R18" s="310">
        <v>5000</v>
      </c>
      <c r="S18" s="311">
        <f>Table146710[[#This Row],[shortage for 5k kit]]*Table146710[[#This Row],[Total]]</f>
        <v>17500</v>
      </c>
      <c r="AE18" s="1">
        <f>O1</f>
        <v>1000</v>
      </c>
    </row>
    <row r="19" spans="1:31">
      <c r="A19" s="24">
        <v>14</v>
      </c>
      <c r="B19" s="84" t="s">
        <v>205</v>
      </c>
      <c r="C19" s="35">
        <v>1</v>
      </c>
      <c r="D19" s="36" t="s">
        <v>110</v>
      </c>
      <c r="E19" s="71" t="s">
        <v>295</v>
      </c>
      <c r="F19" s="36" t="s">
        <v>167</v>
      </c>
      <c r="G19" s="72"/>
      <c r="H19" s="36" t="s">
        <v>289</v>
      </c>
      <c r="I19" s="78" t="s">
        <v>293</v>
      </c>
      <c r="J19" s="74">
        <v>2.5</v>
      </c>
      <c r="K19" s="149">
        <f>Table146710[[#This Row],[Unit Cost]]*Table146710[[#This Row],[Quantity]]</f>
        <v>2.5</v>
      </c>
      <c r="L19" s="74">
        <v>0</v>
      </c>
      <c r="M19" s="74">
        <f>Table146710[[#This Row],[Quantity]]*AE19-Table146710[[#This Row],[STOCK]]</f>
        <v>1000</v>
      </c>
      <c r="N19" s="74">
        <f>IF(Table146710[[#This Row],[Interim Value]]&lt;0,0,Table146710[[#This Row],[Interim Value]])</f>
        <v>1000</v>
      </c>
      <c r="O19" s="105">
        <f>Table146710[[#This Row],[Kitting Quantity]]*Table146710[[#This Row],[Total]]</f>
        <v>2500</v>
      </c>
      <c r="P19" s="11" t="s">
        <v>382</v>
      </c>
      <c r="Q19" s="11" t="s">
        <v>370</v>
      </c>
      <c r="R19" s="310">
        <v>5000</v>
      </c>
      <c r="S19" s="311">
        <f>Table146710[[#This Row],[shortage for 5k kit]]*Table146710[[#This Row],[Total]]</f>
        <v>12500</v>
      </c>
      <c r="AE19" s="1">
        <f>O1</f>
        <v>1000</v>
      </c>
    </row>
    <row r="20" spans="1:31">
      <c r="A20" s="24">
        <v>15</v>
      </c>
      <c r="B20" s="72" t="s">
        <v>324</v>
      </c>
      <c r="C20" s="35">
        <v>2</v>
      </c>
      <c r="D20" s="36" t="s">
        <v>261</v>
      </c>
      <c r="E20" s="36" t="s">
        <v>245</v>
      </c>
      <c r="F20" s="36" t="s">
        <v>275</v>
      </c>
      <c r="G20" s="77">
        <v>0.05</v>
      </c>
      <c r="H20" s="72" t="s">
        <v>230</v>
      </c>
      <c r="I20" s="72" t="s">
        <v>172</v>
      </c>
      <c r="J20" s="74">
        <v>5</v>
      </c>
      <c r="K20" s="149">
        <f>Table146710[[#This Row],[Unit Cost]]*Table146710[[#This Row],[Quantity]]</f>
        <v>10</v>
      </c>
      <c r="L20" s="74">
        <v>0</v>
      </c>
      <c r="M20" s="74">
        <f>Table146710[[#This Row],[Quantity]]*AE20-Table146710[[#This Row],[STOCK]]</f>
        <v>2000</v>
      </c>
      <c r="N20" s="74">
        <f>IF(Table146710[[#This Row],[Interim Value]]&lt;0,0,Table146710[[#This Row],[Interim Value]])</f>
        <v>2000</v>
      </c>
      <c r="O20" s="105">
        <f>Table146710[[#This Row],[Kitting Quantity]]*Table146710[[#This Row],[Total]]</f>
        <v>20000</v>
      </c>
      <c r="P20" s="11" t="s">
        <v>385</v>
      </c>
      <c r="Q20" s="11" t="s">
        <v>386</v>
      </c>
      <c r="R20" s="310">
        <v>10000</v>
      </c>
      <c r="S20" s="311">
        <f>Table146710[[#This Row],[shortage for 5k kit]]*Table146710[[#This Row],[Total]]</f>
        <v>100000</v>
      </c>
      <c r="AE20" s="1">
        <f>O1</f>
        <v>1000</v>
      </c>
    </row>
    <row r="21" spans="1:31" s="187" customFormat="1" ht="15.75" thickBot="1">
      <c r="A21" s="177">
        <v>16</v>
      </c>
      <c r="B21" s="178" t="s">
        <v>461</v>
      </c>
      <c r="C21" s="188">
        <v>1</v>
      </c>
      <c r="D21" s="81" t="s">
        <v>43</v>
      </c>
      <c r="E21" s="81" t="s">
        <v>458</v>
      </c>
      <c r="F21" s="81" t="s">
        <v>276</v>
      </c>
      <c r="G21" s="183"/>
      <c r="H21" s="81" t="s">
        <v>290</v>
      </c>
      <c r="I21" s="183" t="s">
        <v>293</v>
      </c>
      <c r="J21" s="184">
        <v>23</v>
      </c>
      <c r="K21" s="149">
        <f>Table146710[[#This Row],[Unit Cost]]*Table146710[[#This Row],[Quantity]]</f>
        <v>23</v>
      </c>
      <c r="L21" s="184">
        <v>0</v>
      </c>
      <c r="M21" s="184">
        <f>Table146710[[#This Row],[Quantity]]*AE21-Table146710[[#This Row],[STOCK]]</f>
        <v>1000</v>
      </c>
      <c r="N21" s="184">
        <f>IF(Table146710[[#This Row],[Interim Value]]&lt;0,0,Table146710[[#This Row],[Interim Value]])</f>
        <v>1000</v>
      </c>
      <c r="O21" s="185">
        <f>Table146710[[#This Row],[Kitting Quantity]]*Table146710[[#This Row],[Total]]</f>
        <v>23000</v>
      </c>
      <c r="P21" s="186" t="s">
        <v>382</v>
      </c>
      <c r="Q21" s="186" t="s">
        <v>370</v>
      </c>
      <c r="R21" s="310">
        <v>0</v>
      </c>
      <c r="S21" s="311">
        <f>Table146710[[#This Row],[shortage for 5k kit]]*Table146710[[#This Row],[Total]]</f>
        <v>0</v>
      </c>
      <c r="AE21" s="190">
        <f>O1</f>
        <v>1000</v>
      </c>
    </row>
    <row r="22" spans="1:31">
      <c r="A22" s="24">
        <v>17</v>
      </c>
      <c r="B22" s="72" t="s">
        <v>325</v>
      </c>
      <c r="C22" s="35">
        <v>2</v>
      </c>
      <c r="D22" s="36" t="s">
        <v>262</v>
      </c>
      <c r="E22" s="36" t="s">
        <v>374</v>
      </c>
      <c r="F22" s="36" t="s">
        <v>277</v>
      </c>
      <c r="G22" s="77"/>
      <c r="H22" s="36" t="s">
        <v>228</v>
      </c>
      <c r="I22" s="72" t="s">
        <v>292</v>
      </c>
      <c r="J22" s="74">
        <v>0.15</v>
      </c>
      <c r="K22" s="149">
        <f>Table146710[[#This Row],[Unit Cost]]*Table146710[[#This Row],[Quantity]]</f>
        <v>0.3</v>
      </c>
      <c r="L22" s="74">
        <v>0</v>
      </c>
      <c r="M22" s="74">
        <f>Table146710[[#This Row],[Quantity]]*AE22-Table146710[[#This Row],[STOCK]]</f>
        <v>2000</v>
      </c>
      <c r="N22" s="74">
        <f>IF(Table146710[[#This Row],[Interim Value]]&lt;0,0,Table146710[[#This Row],[Interim Value]])</f>
        <v>2000</v>
      </c>
      <c r="O22" s="105">
        <f>Table146710[[#This Row],[Kitting Quantity]]*Table146710[[#This Row],[Total]]</f>
        <v>600</v>
      </c>
      <c r="P22" s="11" t="s">
        <v>364</v>
      </c>
      <c r="Q22" s="11" t="s">
        <v>384</v>
      </c>
      <c r="R22" s="310">
        <v>0</v>
      </c>
      <c r="S22" s="311">
        <f>Table146710[[#This Row],[shortage for 5k kit]]*Table146710[[#This Row],[Total]]</f>
        <v>0</v>
      </c>
      <c r="AE22" s="1">
        <f>O1</f>
        <v>1000</v>
      </c>
    </row>
    <row r="23" spans="1:31">
      <c r="A23" s="24">
        <v>18</v>
      </c>
      <c r="B23" s="72" t="s">
        <v>223</v>
      </c>
      <c r="C23" s="35">
        <v>1</v>
      </c>
      <c r="D23" s="36" t="s">
        <v>62</v>
      </c>
      <c r="E23" s="36" t="s">
        <v>66</v>
      </c>
      <c r="F23" s="36" t="s">
        <v>53</v>
      </c>
      <c r="G23" s="77">
        <v>0.05</v>
      </c>
      <c r="H23" s="36" t="s">
        <v>228</v>
      </c>
      <c r="I23" s="72" t="s">
        <v>292</v>
      </c>
      <c r="J23" s="74">
        <v>0.08</v>
      </c>
      <c r="K23" s="149">
        <f>Table146710[[#This Row],[Unit Cost]]*Table146710[[#This Row],[Quantity]]</f>
        <v>0.08</v>
      </c>
      <c r="L23" s="74">
        <v>0</v>
      </c>
      <c r="M23" s="74">
        <f>Table146710[[#This Row],[Quantity]]*AE23-Table146710[[#This Row],[STOCK]]</f>
        <v>1000</v>
      </c>
      <c r="N23" s="74">
        <f>IF(Table146710[[#This Row],[Interim Value]]&lt;0,0,Table146710[[#This Row],[Interim Value]])</f>
        <v>1000</v>
      </c>
      <c r="O23" s="105">
        <f>Table146710[[#This Row],[Kitting Quantity]]*Table146710[[#This Row],[Total]]</f>
        <v>80</v>
      </c>
      <c r="P23" s="11" t="s">
        <v>292</v>
      </c>
      <c r="Q23" s="11" t="s">
        <v>370</v>
      </c>
      <c r="R23" s="310">
        <v>0</v>
      </c>
      <c r="S23" s="311">
        <f>Table146710[[#This Row],[shortage for 5k kit]]*Table146710[[#This Row],[Total]]</f>
        <v>0</v>
      </c>
      <c r="AE23" s="1">
        <f>O1</f>
        <v>1000</v>
      </c>
    </row>
    <row r="24" spans="1:31">
      <c r="A24" s="24">
        <v>19</v>
      </c>
      <c r="B24" s="72" t="s">
        <v>326</v>
      </c>
      <c r="C24" s="35">
        <v>1</v>
      </c>
      <c r="D24" s="36" t="s">
        <v>79</v>
      </c>
      <c r="E24" s="36" t="s">
        <v>247</v>
      </c>
      <c r="F24" s="36" t="s">
        <v>278</v>
      </c>
      <c r="G24" s="77">
        <v>0.05</v>
      </c>
      <c r="H24" s="36" t="s">
        <v>228</v>
      </c>
      <c r="I24" s="72" t="s">
        <v>292</v>
      </c>
      <c r="J24" s="74">
        <v>0.21</v>
      </c>
      <c r="K24" s="149">
        <f>Table146710[[#This Row],[Unit Cost]]*Table146710[[#This Row],[Quantity]]</f>
        <v>0.21</v>
      </c>
      <c r="L24" s="74">
        <v>0</v>
      </c>
      <c r="M24" s="74">
        <f>Table146710[[#This Row],[Quantity]]*AE24-Table146710[[#This Row],[STOCK]]</f>
        <v>1000</v>
      </c>
      <c r="N24" s="74">
        <f>IF(Table146710[[#This Row],[Interim Value]]&lt;0,0,Table146710[[#This Row],[Interim Value]])</f>
        <v>1000</v>
      </c>
      <c r="O24" s="105">
        <f>Table146710[[#This Row],[Kitting Quantity]]*Table146710[[#This Row],[Total]]</f>
        <v>210</v>
      </c>
      <c r="P24" s="11" t="s">
        <v>364</v>
      </c>
      <c r="Q24" s="11" t="s">
        <v>384</v>
      </c>
      <c r="R24" s="310">
        <v>0</v>
      </c>
      <c r="S24" s="311">
        <f>Table146710[[#This Row],[shortage for 5k kit]]*Table146710[[#This Row],[Total]]</f>
        <v>0</v>
      </c>
      <c r="AE24" s="1">
        <f>O1</f>
        <v>1000</v>
      </c>
    </row>
    <row r="25" spans="1:31">
      <c r="A25" s="24">
        <v>20</v>
      </c>
      <c r="B25" s="72" t="s">
        <v>327</v>
      </c>
      <c r="C25" s="35">
        <v>1</v>
      </c>
      <c r="D25" s="36" t="s">
        <v>59</v>
      </c>
      <c r="E25" s="36" t="s">
        <v>248</v>
      </c>
      <c r="F25" s="36" t="s">
        <v>53</v>
      </c>
      <c r="G25" s="77">
        <v>0.05</v>
      </c>
      <c r="H25" s="36" t="s">
        <v>228</v>
      </c>
      <c r="I25" s="72" t="s">
        <v>292</v>
      </c>
      <c r="J25" s="74">
        <v>0.08</v>
      </c>
      <c r="K25" s="149">
        <f>Table146710[[#This Row],[Unit Cost]]*Table146710[[#This Row],[Quantity]]</f>
        <v>0.08</v>
      </c>
      <c r="L25" s="74">
        <v>0</v>
      </c>
      <c r="M25" s="74">
        <f>Table146710[[#This Row],[Quantity]]*AE25-Table146710[[#This Row],[STOCK]]</f>
        <v>1000</v>
      </c>
      <c r="N25" s="74">
        <f>IF(Table146710[[#This Row],[Interim Value]]&lt;0,0,Table146710[[#This Row],[Interim Value]])</f>
        <v>1000</v>
      </c>
      <c r="O25" s="105">
        <f>Table146710[[#This Row],[Kitting Quantity]]*Table146710[[#This Row],[Total]]</f>
        <v>80</v>
      </c>
      <c r="P25" s="11" t="s">
        <v>292</v>
      </c>
      <c r="Q25" s="11" t="s">
        <v>370</v>
      </c>
      <c r="R25" s="310">
        <v>0</v>
      </c>
      <c r="S25" s="311">
        <f>Table146710[[#This Row],[shortage for 5k kit]]*Table146710[[#This Row],[Total]]</f>
        <v>0</v>
      </c>
      <c r="AE25" s="1">
        <f>O1</f>
        <v>1000</v>
      </c>
    </row>
    <row r="26" spans="1:31" s="187" customFormat="1" ht="15.75" thickBot="1">
      <c r="A26" s="177">
        <v>21</v>
      </c>
      <c r="B26" s="178" t="s">
        <v>464</v>
      </c>
      <c r="C26" s="188">
        <v>1</v>
      </c>
      <c r="D26" s="81" t="s">
        <v>70</v>
      </c>
      <c r="E26" s="81" t="s">
        <v>463</v>
      </c>
      <c r="F26" s="81" t="s">
        <v>53</v>
      </c>
      <c r="G26" s="189">
        <v>0.01</v>
      </c>
      <c r="H26" s="81" t="s">
        <v>228</v>
      </c>
      <c r="I26" s="183" t="s">
        <v>292</v>
      </c>
      <c r="J26" s="184">
        <v>0.08</v>
      </c>
      <c r="K26" s="149">
        <f>Table146710[[#This Row],[Unit Cost]]*Table146710[[#This Row],[Quantity]]</f>
        <v>0.08</v>
      </c>
      <c r="L26" s="184">
        <v>5000</v>
      </c>
      <c r="M26" s="184">
        <f>Table146710[[#This Row],[Quantity]]*AE26-Table146710[[#This Row],[STOCK]]</f>
        <v>-4000</v>
      </c>
      <c r="N26" s="184">
        <f>IF(Table146710[[#This Row],[Interim Value]]&lt;0,0,Table146710[[#This Row],[Interim Value]])</f>
        <v>0</v>
      </c>
      <c r="O26" s="185">
        <f>Table146710[[#This Row],[Kitting Quantity]]*Table146710[[#This Row],[Total]]</f>
        <v>0</v>
      </c>
      <c r="P26" s="186" t="s">
        <v>292</v>
      </c>
      <c r="Q26" s="186" t="s">
        <v>370</v>
      </c>
      <c r="R26" s="310">
        <v>0</v>
      </c>
      <c r="S26" s="311">
        <f>Table146710[[#This Row],[shortage for 5k kit]]*Table146710[[#This Row],[Total]]</f>
        <v>0</v>
      </c>
      <c r="AE26" s="190">
        <f>O1</f>
        <v>1000</v>
      </c>
    </row>
    <row r="27" spans="1:31" s="187" customFormat="1">
      <c r="A27" s="177">
        <v>22</v>
      </c>
      <c r="B27" s="183" t="s">
        <v>331</v>
      </c>
      <c r="C27" s="188">
        <v>1</v>
      </c>
      <c r="D27" s="81" t="s">
        <v>73</v>
      </c>
      <c r="E27" s="81" t="s">
        <v>76</v>
      </c>
      <c r="F27" s="81" t="s">
        <v>53</v>
      </c>
      <c r="G27" s="189">
        <v>0.01</v>
      </c>
      <c r="H27" s="81" t="s">
        <v>228</v>
      </c>
      <c r="I27" s="183" t="s">
        <v>292</v>
      </c>
      <c r="J27" s="184">
        <v>0.1</v>
      </c>
      <c r="K27" s="149">
        <f>Table146710[[#This Row],[Unit Cost]]*Table146710[[#This Row],[Quantity]]</f>
        <v>0.1</v>
      </c>
      <c r="L27" s="184">
        <v>5000</v>
      </c>
      <c r="M27" s="184">
        <f>Table146710[[#This Row],[Quantity]]*AE27-Table146710[[#This Row],[STOCK]]</f>
        <v>-4000</v>
      </c>
      <c r="N27" s="184">
        <f>IF(Table146710[[#This Row],[Interim Value]]&lt;0,0,Table146710[[#This Row],[Interim Value]])</f>
        <v>0</v>
      </c>
      <c r="O27" s="185">
        <f>Table146710[[#This Row],[Kitting Quantity]]*Table146710[[#This Row],[Total]]</f>
        <v>0</v>
      </c>
      <c r="P27" s="186" t="s">
        <v>292</v>
      </c>
      <c r="Q27" s="186" t="s">
        <v>370</v>
      </c>
      <c r="R27" s="310">
        <v>0</v>
      </c>
      <c r="S27" s="311">
        <f>Table146710[[#This Row],[shortage for 5k kit]]*Table146710[[#This Row],[Total]]</f>
        <v>0</v>
      </c>
      <c r="AE27" s="190">
        <f>O1</f>
        <v>1000</v>
      </c>
    </row>
    <row r="28" spans="1:31" s="187" customFormat="1" ht="15.75" thickBot="1">
      <c r="A28" s="177">
        <v>23</v>
      </c>
      <c r="B28" s="178" t="s">
        <v>339</v>
      </c>
      <c r="C28" s="188">
        <v>1</v>
      </c>
      <c r="D28" s="81" t="s">
        <v>182</v>
      </c>
      <c r="E28" s="81" t="s">
        <v>247</v>
      </c>
      <c r="F28" s="81" t="s">
        <v>53</v>
      </c>
      <c r="G28" s="189">
        <v>0.01</v>
      </c>
      <c r="H28" s="81" t="s">
        <v>228</v>
      </c>
      <c r="I28" s="183" t="s">
        <v>292</v>
      </c>
      <c r="J28" s="184">
        <v>0.1</v>
      </c>
      <c r="K28" s="149">
        <f>Table146710[[#This Row],[Unit Cost]]*Table146710[[#This Row],[Quantity]]</f>
        <v>0.1</v>
      </c>
      <c r="L28" s="184">
        <v>0</v>
      </c>
      <c r="M28" s="184">
        <f>Table146710[[#This Row],[Quantity]]*AE28-Table146710[[#This Row],[STOCK]]</f>
        <v>1000</v>
      </c>
      <c r="N28" s="184">
        <f>IF(Table146710[[#This Row],[Interim Value]]&lt;0,0,Table146710[[#This Row],[Interim Value]])</f>
        <v>1000</v>
      </c>
      <c r="O28" s="185">
        <f>Table146710[[#This Row],[Kitting Quantity]]*Table146710[[#This Row],[Total]]</f>
        <v>100</v>
      </c>
      <c r="P28" s="186" t="s">
        <v>292</v>
      </c>
      <c r="Q28" s="186" t="s">
        <v>370</v>
      </c>
      <c r="R28" s="310">
        <v>0</v>
      </c>
      <c r="S28" s="311">
        <f>Table146710[[#This Row],[shortage for 5k kit]]*Table146710[[#This Row],[Total]]</f>
        <v>0</v>
      </c>
      <c r="AE28" s="190">
        <f>O1</f>
        <v>1000</v>
      </c>
    </row>
    <row r="29" spans="1:31">
      <c r="A29" s="24">
        <v>24</v>
      </c>
      <c r="B29" s="72" t="s">
        <v>331</v>
      </c>
      <c r="C29" s="35">
        <v>1</v>
      </c>
      <c r="D29" s="36" t="s">
        <v>55</v>
      </c>
      <c r="E29" s="36" t="s">
        <v>76</v>
      </c>
      <c r="F29" s="36" t="s">
        <v>53</v>
      </c>
      <c r="G29" s="77">
        <v>0.05</v>
      </c>
      <c r="H29" s="36" t="s">
        <v>228</v>
      </c>
      <c r="I29" s="72" t="s">
        <v>292</v>
      </c>
      <c r="J29" s="74">
        <v>0.08</v>
      </c>
      <c r="K29" s="149">
        <f>Table146710[[#This Row],[Unit Cost]]*Table146710[[#This Row],[Quantity]]</f>
        <v>0.08</v>
      </c>
      <c r="L29" s="74">
        <v>0</v>
      </c>
      <c r="M29" s="74">
        <f>Table146710[[#This Row],[Quantity]]*AE29-Table146710[[#This Row],[STOCK]]</f>
        <v>1000</v>
      </c>
      <c r="N29" s="74">
        <f>IF(Table146710[[#This Row],[Interim Value]]&lt;0,0,Table146710[[#This Row],[Interim Value]])</f>
        <v>1000</v>
      </c>
      <c r="O29" s="105">
        <f>Table146710[[#This Row],[Kitting Quantity]]*Table146710[[#This Row],[Total]]</f>
        <v>80</v>
      </c>
      <c r="P29" s="11" t="s">
        <v>292</v>
      </c>
      <c r="Q29" s="11" t="s">
        <v>370</v>
      </c>
      <c r="R29" s="310">
        <v>0</v>
      </c>
      <c r="S29" s="311">
        <f>Table146710[[#This Row],[shortage for 5k kit]]*Table146710[[#This Row],[Total]]</f>
        <v>0</v>
      </c>
      <c r="AE29" s="1">
        <f>O1</f>
        <v>1000</v>
      </c>
    </row>
    <row r="30" spans="1:31" s="187" customFormat="1">
      <c r="A30" s="177">
        <v>25</v>
      </c>
      <c r="B30" s="183" t="s">
        <v>340</v>
      </c>
      <c r="C30" s="188">
        <v>1</v>
      </c>
      <c r="D30" s="81" t="s">
        <v>65</v>
      </c>
      <c r="E30" s="81" t="s">
        <v>250</v>
      </c>
      <c r="F30" s="81" t="s">
        <v>53</v>
      </c>
      <c r="G30" s="189">
        <v>0.01</v>
      </c>
      <c r="H30" s="81" t="s">
        <v>228</v>
      </c>
      <c r="I30" s="183" t="s">
        <v>292</v>
      </c>
      <c r="J30" s="184">
        <v>0.14000000000000001</v>
      </c>
      <c r="K30" s="149">
        <f>Table146710[[#This Row],[Unit Cost]]*Table146710[[#This Row],[Quantity]]</f>
        <v>0.14000000000000001</v>
      </c>
      <c r="L30" s="184">
        <v>5000</v>
      </c>
      <c r="M30" s="184">
        <f>Table146710[[#This Row],[Quantity]]*AE30-Table146710[[#This Row],[STOCK]]</f>
        <v>-4000</v>
      </c>
      <c r="N30" s="184">
        <f>IF(Table146710[[#This Row],[Interim Value]]&lt;0,0,Table146710[[#This Row],[Interim Value]])</f>
        <v>0</v>
      </c>
      <c r="O30" s="185">
        <f>Table146710[[#This Row],[Kitting Quantity]]*Table146710[[#This Row],[Total]]</f>
        <v>0</v>
      </c>
      <c r="P30" s="186" t="s">
        <v>292</v>
      </c>
      <c r="Q30" s="186" t="s">
        <v>370</v>
      </c>
      <c r="R30" s="310">
        <v>0</v>
      </c>
      <c r="S30" s="311">
        <f>Table146710[[#This Row],[shortage for 5k kit]]*Table146710[[#This Row],[Total]]</f>
        <v>0</v>
      </c>
      <c r="AE30" s="190">
        <f>O1</f>
        <v>1000</v>
      </c>
    </row>
    <row r="31" spans="1:31" s="187" customFormat="1">
      <c r="A31" s="177">
        <v>26</v>
      </c>
      <c r="B31" s="183" t="s">
        <v>340</v>
      </c>
      <c r="C31" s="188">
        <v>1</v>
      </c>
      <c r="D31" s="81" t="s">
        <v>263</v>
      </c>
      <c r="E31" s="81" t="s">
        <v>250</v>
      </c>
      <c r="F31" s="81" t="s">
        <v>53</v>
      </c>
      <c r="G31" s="189">
        <v>0.01</v>
      </c>
      <c r="H31" s="81" t="s">
        <v>228</v>
      </c>
      <c r="I31" s="183" t="s">
        <v>292</v>
      </c>
      <c r="J31" s="184">
        <v>0.14000000000000001</v>
      </c>
      <c r="K31" s="149">
        <f>Table146710[[#This Row],[Unit Cost]]*Table146710[[#This Row],[Quantity]]</f>
        <v>0.14000000000000001</v>
      </c>
      <c r="L31" s="184">
        <v>0</v>
      </c>
      <c r="M31" s="184">
        <f>Table146710[[#This Row],[Quantity]]*AE31-Table146710[[#This Row],[STOCK]]</f>
        <v>1000</v>
      </c>
      <c r="N31" s="184">
        <f>IF(Table146710[[#This Row],[Interim Value]]&lt;0,0,Table146710[[#This Row],[Interim Value]])</f>
        <v>1000</v>
      </c>
      <c r="O31" s="185">
        <f>Table146710[[#This Row],[Kitting Quantity]]*Table146710[[#This Row],[Total]]</f>
        <v>140</v>
      </c>
      <c r="P31" s="186" t="s">
        <v>292</v>
      </c>
      <c r="Q31" s="186" t="s">
        <v>370</v>
      </c>
      <c r="R31" s="310">
        <v>5000</v>
      </c>
      <c r="S31" s="311">
        <f>Table146710[[#This Row],[shortage for 5k kit]]*Table146710[[#This Row],[Total]]</f>
        <v>700.00000000000011</v>
      </c>
      <c r="AE31" s="190">
        <f>O1</f>
        <v>1000</v>
      </c>
    </row>
    <row r="32" spans="1:31">
      <c r="A32" s="24">
        <v>27</v>
      </c>
      <c r="B32" s="35"/>
      <c r="C32" s="35">
        <v>1</v>
      </c>
      <c r="D32" s="36" t="s">
        <v>68</v>
      </c>
      <c r="E32" s="36" t="s">
        <v>98</v>
      </c>
      <c r="F32" s="36" t="s">
        <v>53</v>
      </c>
      <c r="G32" s="77">
        <v>0.01</v>
      </c>
      <c r="H32" s="36" t="s">
        <v>228</v>
      </c>
      <c r="I32" s="72"/>
      <c r="J32" s="74"/>
      <c r="K32" s="149">
        <f>Table146710[[#This Row],[Unit Cost]]*Table146710[[#This Row],[Quantity]]</f>
        <v>0</v>
      </c>
      <c r="L32" s="74">
        <v>0</v>
      </c>
      <c r="M32" s="74">
        <f>Table146710[[#This Row],[Quantity]]*AE32-Table146710[[#This Row],[STOCK]]</f>
        <v>1000</v>
      </c>
      <c r="N32" s="74">
        <f>IF(Table146710[[#This Row],[Interim Value]]&lt;0,0,Table146710[[#This Row],[Interim Value]])</f>
        <v>1000</v>
      </c>
      <c r="O32" s="105">
        <f>Table146710[[#This Row],[Kitting Quantity]]*Table146710[[#This Row],[Total]]</f>
        <v>0</v>
      </c>
      <c r="P32" s="11" t="s">
        <v>292</v>
      </c>
      <c r="Q32" s="11" t="s">
        <v>370</v>
      </c>
      <c r="R32" s="310">
        <v>0</v>
      </c>
      <c r="S32" s="311">
        <f>Table146710[[#This Row],[shortage for 5k kit]]*Table146710[[#This Row],[Total]]</f>
        <v>0</v>
      </c>
      <c r="AE32" s="1">
        <f>O1</f>
        <v>1000</v>
      </c>
    </row>
    <row r="33" spans="1:31">
      <c r="A33" s="24">
        <v>28</v>
      </c>
      <c r="B33" s="72" t="s">
        <v>332</v>
      </c>
      <c r="C33" s="35">
        <v>1</v>
      </c>
      <c r="D33" s="36" t="s">
        <v>264</v>
      </c>
      <c r="E33" s="36" t="s">
        <v>251</v>
      </c>
      <c r="F33" s="36" t="s">
        <v>302</v>
      </c>
      <c r="G33" s="77">
        <v>0.05</v>
      </c>
      <c r="H33" s="36" t="s">
        <v>291</v>
      </c>
      <c r="I33" s="72" t="s">
        <v>172</v>
      </c>
      <c r="J33" s="74">
        <v>16</v>
      </c>
      <c r="K33" s="149">
        <f>Table146710[[#This Row],[Unit Cost]]*Table146710[[#This Row],[Quantity]]</f>
        <v>16</v>
      </c>
      <c r="L33" s="74">
        <v>0</v>
      </c>
      <c r="M33" s="74">
        <f>Table146710[[#This Row],[Quantity]]*AE33-Table146710[[#This Row],[STOCK]]</f>
        <v>1000</v>
      </c>
      <c r="N33" s="74">
        <f>IF(Table146710[[#This Row],[Interim Value]]&lt;0,0,Table146710[[#This Row],[Interim Value]])</f>
        <v>1000</v>
      </c>
      <c r="O33" s="105">
        <f>Table146710[[#This Row],[Kitting Quantity]]*Table146710[[#This Row],[Total]]</f>
        <v>16000</v>
      </c>
      <c r="P33" s="11" t="s">
        <v>172</v>
      </c>
      <c r="Q33" s="11" t="s">
        <v>366</v>
      </c>
      <c r="R33" s="310">
        <v>5000</v>
      </c>
      <c r="S33" s="311">
        <f>Table146710[[#This Row],[shortage for 5k kit]]*Table146710[[#This Row],[Total]]</f>
        <v>80000</v>
      </c>
      <c r="AE33" s="1">
        <f>O1</f>
        <v>1000</v>
      </c>
    </row>
    <row r="34" spans="1:31">
      <c r="A34" s="24">
        <v>29</v>
      </c>
      <c r="B34" s="11" t="s">
        <v>333</v>
      </c>
      <c r="C34" s="35">
        <v>1</v>
      </c>
      <c r="D34" s="36" t="s">
        <v>84</v>
      </c>
      <c r="E34" s="36" t="s">
        <v>252</v>
      </c>
      <c r="F34" s="36" t="s">
        <v>280</v>
      </c>
      <c r="G34" s="6"/>
      <c r="H34" s="4" t="s">
        <v>230</v>
      </c>
      <c r="I34" s="6" t="s">
        <v>185</v>
      </c>
      <c r="J34" s="74">
        <v>20</v>
      </c>
      <c r="K34" s="149">
        <f>Table146710[[#This Row],[Unit Cost]]*Table146710[[#This Row],[Quantity]]</f>
        <v>20</v>
      </c>
      <c r="L34" s="74">
        <v>0</v>
      </c>
      <c r="M34" s="74">
        <f>Table146710[[#This Row],[Quantity]]*AE34-Table146710[[#This Row],[STOCK]]</f>
        <v>1000</v>
      </c>
      <c r="N34" s="74">
        <f>IF(Table146710[[#This Row],[Interim Value]]&lt;0,0,Table146710[[#This Row],[Interim Value]])</f>
        <v>1000</v>
      </c>
      <c r="O34" s="105">
        <f>Table146710[[#This Row],[Kitting Quantity]]*Table146710[[#This Row],[Total]]</f>
        <v>20000</v>
      </c>
      <c r="P34" s="11" t="s">
        <v>185</v>
      </c>
      <c r="Q34" s="11" t="s">
        <v>367</v>
      </c>
      <c r="R34" s="310">
        <v>5000</v>
      </c>
      <c r="S34" s="311">
        <f>Table146710[[#This Row],[shortage for 5k kit]]*Table146710[[#This Row],[Total]]</f>
        <v>100000</v>
      </c>
      <c r="AE34" s="1">
        <f>O1</f>
        <v>1000</v>
      </c>
    </row>
    <row r="35" spans="1:31">
      <c r="A35" s="24">
        <v>30</v>
      </c>
      <c r="B35" s="72" t="s">
        <v>334</v>
      </c>
      <c r="C35" s="72">
        <v>1</v>
      </c>
      <c r="D35" s="72"/>
      <c r="E35" s="72" t="s">
        <v>253</v>
      </c>
      <c r="F35" s="72" t="s">
        <v>281</v>
      </c>
      <c r="G35" s="6"/>
      <c r="H35" s="6"/>
      <c r="I35" s="6" t="s">
        <v>234</v>
      </c>
      <c r="J35" s="74">
        <v>8.4</v>
      </c>
      <c r="K35" s="149">
        <f>Table146710[[#This Row],[Unit Cost]]*Table146710[[#This Row],[Quantity]]</f>
        <v>8.4</v>
      </c>
      <c r="L35" s="74">
        <v>0</v>
      </c>
      <c r="M35" s="74">
        <f>Table146710[[#This Row],[Quantity]]*AE35-Table146710[[#This Row],[STOCK]]</f>
        <v>1000</v>
      </c>
      <c r="N35" s="74">
        <f>IF(Table146710[[#This Row],[Interim Value]]&lt;0,0,Table146710[[#This Row],[Interim Value]])</f>
        <v>1000</v>
      </c>
      <c r="O35" s="105">
        <f>Table146710[[#This Row],[Kitting Quantity]]*Table146710[[#This Row],[Total]]</f>
        <v>8400</v>
      </c>
      <c r="P35" s="11" t="s">
        <v>188</v>
      </c>
      <c r="Q35" s="11" t="s">
        <v>370</v>
      </c>
      <c r="R35" s="310">
        <v>5000</v>
      </c>
      <c r="S35" s="311">
        <f>Table146710[[#This Row],[shortage for 5k kit]]*Table146710[[#This Row],[Total]]</f>
        <v>42000</v>
      </c>
      <c r="AE35" s="1">
        <f>O1</f>
        <v>1000</v>
      </c>
    </row>
    <row r="36" spans="1:31">
      <c r="A36" s="24">
        <v>31</v>
      </c>
      <c r="B36" s="84" t="s">
        <v>335</v>
      </c>
      <c r="C36" s="3">
        <v>1</v>
      </c>
      <c r="D36" s="4" t="s">
        <v>254</v>
      </c>
      <c r="E36" s="4" t="s">
        <v>254</v>
      </c>
      <c r="F36" s="6"/>
      <c r="G36" s="6"/>
      <c r="H36" s="6"/>
      <c r="I36" s="6" t="s">
        <v>294</v>
      </c>
      <c r="J36" s="74">
        <v>2.75</v>
      </c>
      <c r="K36" s="149">
        <f>Table146710[[#This Row],[Unit Cost]]*Table146710[[#This Row],[Quantity]]</f>
        <v>2.75</v>
      </c>
      <c r="L36" s="74">
        <v>0</v>
      </c>
      <c r="M36" s="74">
        <f>Table146710[[#This Row],[Quantity]]*AE36-Table146710[[#This Row],[STOCK]]</f>
        <v>1000</v>
      </c>
      <c r="N36" s="74">
        <f>IF(Table146710[[#This Row],[Interim Value]]&lt;0,0,Table146710[[#This Row],[Interim Value]])</f>
        <v>1000</v>
      </c>
      <c r="O36" s="105">
        <f>Table146710[[#This Row],[Kitting Quantity]]*Table146710[[#This Row],[Total]]</f>
        <v>2750</v>
      </c>
      <c r="P36" s="11" t="s">
        <v>387</v>
      </c>
      <c r="Q36" s="11" t="s">
        <v>370</v>
      </c>
      <c r="R36" s="310">
        <v>5000</v>
      </c>
      <c r="S36" s="311">
        <f>Table146710[[#This Row],[shortage for 5k kit]]*Table146710[[#This Row],[Total]]</f>
        <v>13750</v>
      </c>
      <c r="AE36" s="1">
        <f>O1</f>
        <v>1000</v>
      </c>
    </row>
    <row r="37" spans="1:31">
      <c r="A37" s="24">
        <v>33</v>
      </c>
      <c r="B37" s="72" t="s">
        <v>353</v>
      </c>
      <c r="C37" s="40">
        <v>1</v>
      </c>
      <c r="D37" s="41"/>
      <c r="E37" s="83" t="s">
        <v>296</v>
      </c>
      <c r="F37" s="39" t="s">
        <v>297</v>
      </c>
      <c r="G37" s="39"/>
      <c r="H37" s="39"/>
      <c r="I37" s="39"/>
      <c r="J37" s="82">
        <v>0.2</v>
      </c>
      <c r="K37" s="149">
        <f>Table146710[[#This Row],[Unit Cost]]*Table146710[[#This Row],[Quantity]]</f>
        <v>0.2</v>
      </c>
      <c r="L37" s="82">
        <v>0</v>
      </c>
      <c r="M37" s="82">
        <f>Table146710[[#This Row],[Quantity]]*AE37-Table146710[[#This Row],[STOCK]]</f>
        <v>1000</v>
      </c>
      <c r="N37" s="82">
        <f>IF(Table146710[[#This Row],[Interim Value]]&lt;0,0,Table146710[[#This Row],[Interim Value]])</f>
        <v>1000</v>
      </c>
      <c r="O37" s="82">
        <f>Table146710[[#This Row],[Kitting Quantity]]*Table146710[[#This Row],[Total]]</f>
        <v>200</v>
      </c>
      <c r="P37" s="11"/>
      <c r="Q37" s="11" t="s">
        <v>367</v>
      </c>
      <c r="R37" s="310">
        <v>5000</v>
      </c>
      <c r="S37" s="311">
        <f>Table146710[[#This Row],[shortage for 5k kit]]*Table146710[[#This Row],[Total]]</f>
        <v>1000</v>
      </c>
      <c r="AE37" s="1">
        <f>O1</f>
        <v>1000</v>
      </c>
    </row>
    <row r="38" spans="1:31">
      <c r="A38" s="24">
        <v>34</v>
      </c>
      <c r="B38" s="6" t="s">
        <v>352</v>
      </c>
      <c r="C38" s="40">
        <v>1</v>
      </c>
      <c r="D38" s="41"/>
      <c r="E38" s="83" t="s">
        <v>313</v>
      </c>
      <c r="F38" s="39" t="s">
        <v>314</v>
      </c>
      <c r="G38" s="39"/>
      <c r="H38" s="39"/>
      <c r="I38" s="39" t="s">
        <v>315</v>
      </c>
      <c r="J38" s="82">
        <v>9</v>
      </c>
      <c r="K38" s="149">
        <f>Table146710[[#This Row],[Unit Cost]]*Table146710[[#This Row],[Quantity]]</f>
        <v>9</v>
      </c>
      <c r="L38" s="82">
        <v>0</v>
      </c>
      <c r="M38" s="82">
        <f>Table146710[[#This Row],[Quantity]]*AE38-Table146710[[#This Row],[STOCK]]</f>
        <v>1000</v>
      </c>
      <c r="N38" s="82">
        <f>IF(Table146710[[#This Row],[Interim Value]]&lt;0,0,Table146710[[#This Row],[Interim Value]])</f>
        <v>1000</v>
      </c>
      <c r="O38" s="82">
        <f>Table146710[[#This Row],[Kitting Quantity]]*Table146710[[#This Row],[Total]]</f>
        <v>9000</v>
      </c>
      <c r="P38" s="11" t="s">
        <v>379</v>
      </c>
      <c r="Q38" s="11" t="s">
        <v>388</v>
      </c>
      <c r="R38" s="310">
        <v>5000</v>
      </c>
      <c r="S38" s="311">
        <f>Table146710[[#This Row],[shortage for 5k kit]]*Table146710[[#This Row],[Total]]</f>
        <v>45000</v>
      </c>
      <c r="AE38" s="1">
        <f>O1</f>
        <v>1000</v>
      </c>
    </row>
    <row r="39" spans="1:31">
      <c r="A39" s="24">
        <v>35</v>
      </c>
      <c r="B39" s="72" t="s">
        <v>336</v>
      </c>
      <c r="C39" s="40">
        <v>3</v>
      </c>
      <c r="D39" s="41"/>
      <c r="E39" s="92" t="s">
        <v>355</v>
      </c>
      <c r="F39" s="11" t="s">
        <v>354</v>
      </c>
      <c r="G39" s="39"/>
      <c r="H39" s="39"/>
      <c r="I39" s="39" t="s">
        <v>316</v>
      </c>
      <c r="J39" s="82">
        <v>0.5</v>
      </c>
      <c r="K39" s="149">
        <f>Table146710[[#This Row],[Unit Cost]]*Table146710[[#This Row],[Quantity]]</f>
        <v>1.5</v>
      </c>
      <c r="L39" s="82">
        <v>0</v>
      </c>
      <c r="M39" s="82">
        <f>Table146710[[#This Row],[Quantity]]*AE39-Table146710[[#This Row],[STOCK]]</f>
        <v>3000</v>
      </c>
      <c r="N39" s="82">
        <f>IF(Table146710[[#This Row],[Interim Value]]&lt;0,0,Table146710[[#This Row],[Interim Value]])</f>
        <v>3000</v>
      </c>
      <c r="O39" s="82">
        <f>Table146710[[#This Row],[Kitting Quantity]]*Table146710[[#This Row],[Total]]</f>
        <v>4500</v>
      </c>
      <c r="P39" s="11"/>
      <c r="Q39" s="11" t="s">
        <v>386</v>
      </c>
      <c r="R39" s="310">
        <v>0</v>
      </c>
      <c r="S39" s="311">
        <f>Table146710[[#This Row],[shortage for 5k kit]]*Table146710[[#This Row],[Total]]</f>
        <v>0</v>
      </c>
      <c r="AE39" s="1">
        <f>O1</f>
        <v>1000</v>
      </c>
    </row>
    <row r="40" spans="1:31">
      <c r="A40" s="25">
        <v>36</v>
      </c>
      <c r="B40" s="72" t="s">
        <v>337</v>
      </c>
      <c r="C40" s="44">
        <v>1</v>
      </c>
      <c r="D40" s="45"/>
      <c r="E40" s="92" t="s">
        <v>356</v>
      </c>
      <c r="F40" s="26" t="s">
        <v>354</v>
      </c>
      <c r="G40" s="43"/>
      <c r="H40" s="43"/>
      <c r="I40" s="43" t="s">
        <v>316</v>
      </c>
      <c r="J40" s="55">
        <v>0.5</v>
      </c>
      <c r="K40" s="149">
        <f>Table146710[[#This Row],[Unit Cost]]*Table146710[[#This Row],[Quantity]]</f>
        <v>0.5</v>
      </c>
      <c r="L40" s="55">
        <v>0</v>
      </c>
      <c r="M40" s="55">
        <f>Table146710[[#This Row],[Quantity]]*AE40-Table146710[[#This Row],[STOCK]]</f>
        <v>1000</v>
      </c>
      <c r="N40" s="55">
        <f>IF(Table146710[[#This Row],[Interim Value]]&lt;0,0,Table146710[[#This Row],[Interim Value]])</f>
        <v>1000</v>
      </c>
      <c r="O40" s="55">
        <f>Table146710[[#This Row],[Kitting Quantity]]*Table146710[[#This Row],[Total]]</f>
        <v>500</v>
      </c>
      <c r="P40" s="11"/>
      <c r="Q40" s="11" t="s">
        <v>386</v>
      </c>
      <c r="R40" s="310">
        <v>0</v>
      </c>
      <c r="S40" s="311">
        <f>Table146710[[#This Row],[shortage for 5k kit]]*Table146710[[#This Row],[Total]]</f>
        <v>0</v>
      </c>
      <c r="AE40" s="1">
        <f>O1</f>
        <v>1000</v>
      </c>
    </row>
    <row r="41" spans="1:31">
      <c r="A41" s="25">
        <v>37</v>
      </c>
      <c r="B41" s="72" t="s">
        <v>351</v>
      </c>
      <c r="C41" s="93">
        <v>1</v>
      </c>
      <c r="D41" s="94"/>
      <c r="E41" s="92" t="s">
        <v>350</v>
      </c>
      <c r="F41" s="26"/>
      <c r="G41" s="26"/>
      <c r="H41" s="26"/>
      <c r="I41" s="26"/>
      <c r="J41" s="72">
        <v>1.25</v>
      </c>
      <c r="K41" s="149">
        <f>Table146710[[#This Row],[Unit Cost]]*Table146710[[#This Row],[Quantity]]</f>
        <v>1.25</v>
      </c>
      <c r="L41" s="148">
        <v>0</v>
      </c>
      <c r="M41" s="231">
        <f>Table146710[[#This Row],[Quantity]]*AE41-Table146710[[#This Row],[STOCK]]</f>
        <v>1000</v>
      </c>
      <c r="N41" s="231">
        <f>IF(Table146710[[#This Row],[Interim Value]]&lt;0,0,Table146710[[#This Row],[Interim Value]])</f>
        <v>1000</v>
      </c>
      <c r="O41" s="106">
        <f>Table146710[[#This Row],[Kitting Quantity]]*Table146710[[#This Row],[Total]]</f>
        <v>1250</v>
      </c>
      <c r="P41" s="11"/>
      <c r="Q41" s="11" t="s">
        <v>367</v>
      </c>
      <c r="R41" s="310">
        <v>0</v>
      </c>
      <c r="S41" s="311">
        <f>Table146710[[#This Row],[shortage for 5k kit]]*Table146710[[#This Row],[Total]]</f>
        <v>0</v>
      </c>
      <c r="AE41" s="1">
        <f>O1</f>
        <v>1000</v>
      </c>
    </row>
    <row r="42" spans="1:31">
      <c r="A42" s="25">
        <v>38</v>
      </c>
      <c r="B42" s="72" t="s">
        <v>349</v>
      </c>
      <c r="C42" s="93">
        <v>1</v>
      </c>
      <c r="D42" s="94"/>
      <c r="E42" s="92" t="s">
        <v>348</v>
      </c>
      <c r="F42" s="26"/>
      <c r="G42" s="26"/>
      <c r="H42" s="26"/>
      <c r="I42" s="26"/>
      <c r="J42" s="72">
        <v>0.3</v>
      </c>
      <c r="K42" s="149">
        <f>Table146710[[#This Row],[Unit Cost]]*Table146710[[#This Row],[Quantity]]</f>
        <v>0.3</v>
      </c>
      <c r="L42" s="148">
        <v>0</v>
      </c>
      <c r="M42" s="231">
        <f>Table146710[[#This Row],[Quantity]]*AE42-Table146710[[#This Row],[STOCK]]</f>
        <v>1000</v>
      </c>
      <c r="N42" s="231">
        <f>IF(Table146710[[#This Row],[Interim Value]]&lt;0,0,Table146710[[#This Row],[Interim Value]])</f>
        <v>1000</v>
      </c>
      <c r="O42" s="106">
        <f>Table146710[[#This Row],[Kitting Quantity]]*Table146710[[#This Row],[Total]]</f>
        <v>300</v>
      </c>
      <c r="P42" s="11"/>
      <c r="Q42" s="11" t="s">
        <v>367</v>
      </c>
      <c r="R42" s="310">
        <v>0</v>
      </c>
      <c r="S42" s="311">
        <f>Table146710[[#This Row],[shortage for 5k kit]]*Table146710[[#This Row],[Total]]</f>
        <v>0</v>
      </c>
      <c r="AE42" s="1">
        <f>O1</f>
        <v>1000</v>
      </c>
    </row>
    <row r="43" spans="1:31">
      <c r="A43" s="25">
        <v>39</v>
      </c>
      <c r="B43" s="26"/>
      <c r="C43" s="93">
        <v>1</v>
      </c>
      <c r="D43" s="94"/>
      <c r="E43" s="209" t="s">
        <v>196</v>
      </c>
      <c r="F43" s="26"/>
      <c r="G43" s="26"/>
      <c r="H43" s="26" t="s">
        <v>477</v>
      </c>
      <c r="I43" s="26"/>
      <c r="J43" s="106">
        <v>12</v>
      </c>
      <c r="K43" s="149">
        <f>Table146710[[#This Row],[Unit Cost]]*Table146710[[#This Row],[Quantity]]</f>
        <v>12</v>
      </c>
      <c r="L43" s="106"/>
      <c r="M43" s="106">
        <f>Table146710[[#This Row],[Quantity]]*AE43-Table146710[[#This Row],[STOCK]]</f>
        <v>1000</v>
      </c>
      <c r="N43" s="106">
        <f>IF(Table146710[[#This Row],[Interim Value]]&lt;0,0,Table146710[[#This Row],[Interim Value]])</f>
        <v>1000</v>
      </c>
      <c r="O43" s="106">
        <f>Table146710[[#This Row],[Kitting Quantity]]*Table146710[[#This Row],[Total]]</f>
        <v>12000</v>
      </c>
      <c r="P43" s="233"/>
      <c r="Q43" s="11" t="s">
        <v>370</v>
      </c>
      <c r="R43" s="310">
        <v>0</v>
      </c>
      <c r="S43" s="311">
        <f>Table146710[[#This Row],[shortage for 5k kit]]*Table146710[[#This Row],[Total]]</f>
        <v>0</v>
      </c>
      <c r="AE43" s="1">
        <f>O1</f>
        <v>1000</v>
      </c>
    </row>
    <row r="44" spans="1:31">
      <c r="A44" s="361" t="s">
        <v>189</v>
      </c>
      <c r="B44" s="361"/>
      <c r="C44" s="361"/>
      <c r="D44" s="361"/>
      <c r="E44" s="361"/>
      <c r="F44" s="361"/>
      <c r="G44" s="361"/>
      <c r="H44" s="361"/>
      <c r="I44" s="361"/>
      <c r="J44" s="361"/>
      <c r="K44" s="268">
        <f>SUM(K6:K43)</f>
        <v>136.26</v>
      </c>
      <c r="L44" s="104"/>
      <c r="M44" s="339"/>
      <c r="N44" s="339"/>
      <c r="O44" s="107">
        <f>SUM(Table146710[PRICE])</f>
        <v>164940</v>
      </c>
      <c r="P44" s="1"/>
      <c r="Q44" s="1"/>
      <c r="R44" s="1"/>
    </row>
    <row r="45" spans="1:31">
      <c r="O45" s="75"/>
    </row>
    <row r="46" spans="1:31">
      <c r="O46" s="75"/>
    </row>
    <row r="47" spans="1:31" ht="15.75" thickBot="1">
      <c r="O47" s="75"/>
    </row>
    <row r="48" spans="1:31">
      <c r="B48" s="249" t="s">
        <v>509</v>
      </c>
      <c r="C48" s="255">
        <f>K42+K41+K37+K34</f>
        <v>21.75</v>
      </c>
      <c r="E48" s="249" t="s">
        <v>509</v>
      </c>
      <c r="F48" s="255">
        <f t="shared" ref="F48" si="0">N42+N41+N37+N34</f>
        <v>4000</v>
      </c>
      <c r="G48" s="249" t="s">
        <v>509</v>
      </c>
      <c r="H48" s="255" t="e">
        <f t="shared" ref="H48" si="1">P42+P41+P37+P34</f>
        <v>#VALUE!</v>
      </c>
      <c r="I48" s="249" t="s">
        <v>509</v>
      </c>
      <c r="J48" s="255">
        <f>O42+O41+O37+O34</f>
        <v>21750</v>
      </c>
    </row>
    <row r="49" spans="2:10">
      <c r="B49" s="250" t="s">
        <v>492</v>
      </c>
      <c r="C49" s="251">
        <v>0</v>
      </c>
      <c r="E49" s="250" t="s">
        <v>492</v>
      </c>
      <c r="F49" s="251">
        <v>0</v>
      </c>
      <c r="G49" s="250" t="s">
        <v>492</v>
      </c>
      <c r="H49" s="251">
        <v>0</v>
      </c>
      <c r="I49" s="250" t="s">
        <v>492</v>
      </c>
      <c r="J49" s="251">
        <v>0</v>
      </c>
    </row>
    <row r="50" spans="2:10">
      <c r="B50" s="250" t="s">
        <v>493</v>
      </c>
      <c r="C50" s="253">
        <f>K38</f>
        <v>9</v>
      </c>
      <c r="E50" s="250" t="s">
        <v>493</v>
      </c>
      <c r="F50" s="253">
        <f t="shared" ref="F50" si="2">N38</f>
        <v>1000</v>
      </c>
      <c r="G50" s="250" t="s">
        <v>493</v>
      </c>
      <c r="H50" s="253" t="str">
        <f t="shared" ref="H50" si="3">P38</f>
        <v>VANSH ELECTRO</v>
      </c>
      <c r="I50" s="250" t="s">
        <v>493</v>
      </c>
      <c r="J50" s="253">
        <f>O38</f>
        <v>9000</v>
      </c>
    </row>
    <row r="51" spans="2:10">
      <c r="B51" s="250" t="s">
        <v>490</v>
      </c>
      <c r="C51" s="253">
        <f>K40+K39+K20+K12+K11+K9</f>
        <v>16.25</v>
      </c>
      <c r="E51" s="250" t="s">
        <v>490</v>
      </c>
      <c r="F51" s="253">
        <f t="shared" ref="F51" si="4">N40+N39+N20+N12+N11+N9</f>
        <v>9000</v>
      </c>
      <c r="G51" s="250" t="s">
        <v>490</v>
      </c>
      <c r="H51" s="253" t="e">
        <f t="shared" ref="H51" si="5">P40+P39+P20+P12+P11+P9</f>
        <v>#VALUE!</v>
      </c>
      <c r="I51" s="250" t="s">
        <v>490</v>
      </c>
      <c r="J51" s="253">
        <f>O40+O39+O20+O12+O11+O9</f>
        <v>29250</v>
      </c>
    </row>
    <row r="52" spans="2:10">
      <c r="B52" s="250" t="s">
        <v>494</v>
      </c>
      <c r="C52" s="253">
        <f>K6+K7+K8+K10+K13+K14+K15+K16+K17+K18+K19+K21+K22+K23+K24+K25+K26+K27+K28+K29+K30+K31+K32+K35+K36+K43</f>
        <v>73.259999999999991</v>
      </c>
      <c r="E52" s="250" t="s">
        <v>494</v>
      </c>
      <c r="F52" s="253">
        <f t="shared" ref="F52" si="6">N6+N7+N8+N10+N13+N14+N15+N16+N17+N18+N19+N21+N22+N23+N24+N25+N26+N27+N28+N29+N30+N31+N32+N35+N36+N43</f>
        <v>29000</v>
      </c>
      <c r="G52" s="250" t="s">
        <v>494</v>
      </c>
      <c r="H52" s="253" t="e">
        <f t="shared" ref="H52" si="7">P6+P7+P8+P10+P13+P14+P15+P16+P17+P18+P19+P21+P22+P23+P24+P25+P26+P27+P28+P29+P30+P31+P32+P35+P36+P43</f>
        <v>#VALUE!</v>
      </c>
      <c r="I52" s="250" t="s">
        <v>494</v>
      </c>
      <c r="J52" s="253">
        <f>O6+O7+O8+O10+O13+O14+O15+O16+O17+O18+O19+O21+O22+O23+O24+O25+O26+O27+O28+O29+O30+O31+O32+O35+O36+O43</f>
        <v>88940</v>
      </c>
    </row>
    <row r="53" spans="2:10" ht="15.75" thickBot="1">
      <c r="B53" s="252" t="s">
        <v>495</v>
      </c>
      <c r="C53" s="254">
        <f>K33</f>
        <v>16</v>
      </c>
      <c r="E53" s="252" t="s">
        <v>495</v>
      </c>
      <c r="F53" s="254">
        <f t="shared" ref="F53" si="8">N33</f>
        <v>1000</v>
      </c>
      <c r="G53" s="252" t="s">
        <v>495</v>
      </c>
      <c r="H53" s="254" t="str">
        <f t="shared" ref="H53" si="9">P33</f>
        <v>METRONIX</v>
      </c>
      <c r="I53" s="252" t="s">
        <v>495</v>
      </c>
      <c r="J53" s="254">
        <f>O33</f>
        <v>16000</v>
      </c>
    </row>
    <row r="54" spans="2:10">
      <c r="C54" s="198">
        <f>SUM(C48:C53)</f>
        <v>136.26</v>
      </c>
      <c r="J54" s="198">
        <f>SUM(J48:J53)</f>
        <v>164940</v>
      </c>
    </row>
  </sheetData>
  <mergeCells count="7">
    <mergeCell ref="A1:B1"/>
    <mergeCell ref="C1:D1"/>
    <mergeCell ref="A3:O3"/>
    <mergeCell ref="A4:O4"/>
    <mergeCell ref="A44:J44"/>
    <mergeCell ref="F1:H1"/>
    <mergeCell ref="L1:M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AD53"/>
  <sheetViews>
    <sheetView topLeftCell="A31" workbookViewId="0">
      <selection activeCell="M5" sqref="M5"/>
    </sheetView>
  </sheetViews>
  <sheetFormatPr defaultRowHeight="15"/>
  <cols>
    <col min="2" max="2" width="20.42578125" bestFit="1" customWidth="1"/>
    <col min="3" max="3" width="12.42578125" bestFit="1" customWidth="1"/>
    <col min="4" max="4" width="13.5703125" bestFit="1" customWidth="1"/>
    <col min="5" max="5" width="27.28515625" customWidth="1"/>
    <col min="6" max="6" width="42.28515625" hidden="1" customWidth="1"/>
    <col min="7" max="7" width="13.28515625" hidden="1" customWidth="1"/>
    <col min="8" max="8" width="19.140625" hidden="1" customWidth="1"/>
    <col min="9" max="9" width="24.28515625" hidden="1" customWidth="1"/>
    <col min="10" max="10" width="12.7109375" bestFit="1" customWidth="1"/>
    <col min="11" max="11" width="12.7109375" customWidth="1"/>
    <col min="12" max="12" width="10.5703125" bestFit="1" customWidth="1"/>
    <col min="13" max="13" width="16.28515625" bestFit="1" customWidth="1"/>
    <col min="14" max="14" width="18.140625" bestFit="1" customWidth="1"/>
    <col min="16" max="16" width="18.140625" hidden="1" customWidth="1"/>
    <col min="17" max="17" width="19" hidden="1" customWidth="1"/>
    <col min="18" max="18" width="15" bestFit="1" customWidth="1"/>
    <col min="19" max="23" width="0" hidden="1" customWidth="1"/>
  </cols>
  <sheetData>
    <row r="1" spans="1:30" ht="19.5" thickBot="1">
      <c r="A1" s="348" t="s">
        <v>138</v>
      </c>
      <c r="B1" s="348"/>
      <c r="C1" s="349" t="s">
        <v>467</v>
      </c>
      <c r="D1" s="349"/>
      <c r="E1" s="7"/>
      <c r="F1" s="364" t="s">
        <v>483</v>
      </c>
      <c r="G1" s="365"/>
      <c r="H1" s="365"/>
      <c r="I1" s="102"/>
      <c r="J1" s="73"/>
      <c r="K1" s="395" t="s">
        <v>514</v>
      </c>
      <c r="L1" s="396"/>
      <c r="M1" s="333"/>
      <c r="N1" s="327">
        <f>'Detail-Planner'!E12</f>
        <v>3000</v>
      </c>
      <c r="O1" s="73"/>
    </row>
    <row r="2" spans="1:30">
      <c r="A2" s="102"/>
      <c r="B2" s="102"/>
      <c r="C2" s="102"/>
      <c r="D2" s="102"/>
      <c r="E2" s="7"/>
      <c r="F2" s="102"/>
      <c r="G2" s="102"/>
      <c r="H2" s="102"/>
      <c r="I2" s="102"/>
      <c r="J2" s="73"/>
      <c r="K2" s="73"/>
      <c r="L2" s="73"/>
      <c r="M2" s="73"/>
      <c r="N2" s="73"/>
      <c r="O2" s="73"/>
    </row>
    <row r="3" spans="1:30">
      <c r="A3" s="350" t="s">
        <v>469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30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30">
      <c r="A5" s="22" t="s">
        <v>0</v>
      </c>
      <c r="B5" s="85" t="s">
        <v>139</v>
      </c>
      <c r="C5" s="23" t="s">
        <v>1</v>
      </c>
      <c r="D5" s="23" t="s">
        <v>2</v>
      </c>
      <c r="E5" s="23" t="s">
        <v>3</v>
      </c>
      <c r="F5" s="23" t="s">
        <v>140</v>
      </c>
      <c r="G5" s="23" t="s">
        <v>141</v>
      </c>
      <c r="H5" s="23" t="s">
        <v>142</v>
      </c>
      <c r="I5" s="23" t="s">
        <v>143</v>
      </c>
      <c r="J5" s="86" t="s">
        <v>470</v>
      </c>
      <c r="K5" s="86" t="s">
        <v>476</v>
      </c>
      <c r="L5" s="145" t="s">
        <v>347</v>
      </c>
      <c r="M5" s="399" t="s">
        <v>517</v>
      </c>
      <c r="N5" s="399" t="s">
        <v>514</v>
      </c>
      <c r="O5" s="86" t="s">
        <v>144</v>
      </c>
      <c r="P5" s="151" t="s">
        <v>360</v>
      </c>
      <c r="Q5" s="151" t="s">
        <v>361</v>
      </c>
    </row>
    <row r="6" spans="1:30" s="1" customFormat="1" ht="18" customHeight="1">
      <c r="A6" s="24">
        <v>1</v>
      </c>
      <c r="B6" s="84" t="s">
        <v>317</v>
      </c>
      <c r="C6" s="35">
        <v>4</v>
      </c>
      <c r="D6" s="71" t="s">
        <v>255</v>
      </c>
      <c r="E6" s="36" t="s">
        <v>236</v>
      </c>
      <c r="F6" s="72" t="s">
        <v>265</v>
      </c>
      <c r="G6" s="77">
        <v>0.1</v>
      </c>
      <c r="H6" s="36" t="s">
        <v>282</v>
      </c>
      <c r="I6" s="72" t="s">
        <v>292</v>
      </c>
      <c r="J6" s="74">
        <v>0.35</v>
      </c>
      <c r="K6" s="74">
        <f>Table14671011[[#This Row],[Unit Cost]]*Table14671011[[#This Row],[Quantity]]</f>
        <v>1.4</v>
      </c>
      <c r="L6" s="74">
        <v>0</v>
      </c>
      <c r="M6" s="74">
        <f>Table14671011[[#This Row],[Quantity]]*AD6-Table14671011[[#This Row],[STOCK]]</f>
        <v>12000</v>
      </c>
      <c r="N6" s="74">
        <f>IF(Table14671011[[#This Row],[Interim Value]]&lt;0,0,Table14671011[[#This Row],[Interim Value]])</f>
        <v>12000</v>
      </c>
      <c r="O6" s="105">
        <f>Table14671011[[#This Row],[Kitting Quantity]]*Table14671011[[#This Row],[Total]]</f>
        <v>16800</v>
      </c>
      <c r="P6" s="11" t="s">
        <v>292</v>
      </c>
      <c r="Q6" s="11" t="s">
        <v>370</v>
      </c>
      <c r="AD6" s="1">
        <f>N1</f>
        <v>3000</v>
      </c>
    </row>
    <row r="7" spans="1:30" ht="20.25" customHeight="1" thickBot="1">
      <c r="A7" s="177">
        <v>2</v>
      </c>
      <c r="B7" s="178" t="s">
        <v>460</v>
      </c>
      <c r="C7" s="179">
        <v>2</v>
      </c>
      <c r="D7" s="180" t="s">
        <v>256</v>
      </c>
      <c r="E7" s="81" t="s">
        <v>457</v>
      </c>
      <c r="F7" s="181" t="s">
        <v>400</v>
      </c>
      <c r="G7" s="182">
        <v>0.05</v>
      </c>
      <c r="H7" s="180" t="s">
        <v>393</v>
      </c>
      <c r="I7" s="183" t="s">
        <v>292</v>
      </c>
      <c r="J7" s="184">
        <v>2.75</v>
      </c>
      <c r="K7" s="184">
        <f>Table14671011[[#This Row],[Unit Cost]]*Table14671011[[#This Row],[Quantity]]</f>
        <v>5.5</v>
      </c>
      <c r="L7" s="184">
        <v>0</v>
      </c>
      <c r="M7" s="184">
        <f>Table14671011[[#This Row],[Quantity]]*AD7-Table14671011[[#This Row],[STOCK]]</f>
        <v>6000</v>
      </c>
      <c r="N7" s="74">
        <f>IF(Table14671011[[#This Row],[Interim Value]]&lt;0,0,Table14671011[[#This Row],[Interim Value]])</f>
        <v>6000</v>
      </c>
      <c r="O7" s="105">
        <f>Table14671011[[#This Row],[Kitting Quantity]]*Table14671011[[#This Row],[Total]]</f>
        <v>33000</v>
      </c>
      <c r="P7" s="186" t="s">
        <v>292</v>
      </c>
      <c r="Q7" s="186" t="s">
        <v>370</v>
      </c>
      <c r="AD7">
        <f>N1</f>
        <v>3000</v>
      </c>
    </row>
    <row r="8" spans="1:30">
      <c r="A8" s="24">
        <v>3</v>
      </c>
      <c r="B8" s="11" t="s">
        <v>12</v>
      </c>
      <c r="C8" s="35">
        <v>1</v>
      </c>
      <c r="D8" s="36" t="s">
        <v>17</v>
      </c>
      <c r="E8" s="36" t="s">
        <v>149</v>
      </c>
      <c r="F8" s="36" t="s">
        <v>266</v>
      </c>
      <c r="G8" s="77">
        <v>0.05</v>
      </c>
      <c r="H8" s="36" t="s">
        <v>283</v>
      </c>
      <c r="I8" s="72" t="s">
        <v>293</v>
      </c>
      <c r="J8" s="74">
        <v>0.6</v>
      </c>
      <c r="K8" s="74">
        <f>Table14671011[[#This Row],[Unit Cost]]*Table14671011[[#This Row],[Quantity]]</f>
        <v>0.6</v>
      </c>
      <c r="L8" s="74">
        <v>0</v>
      </c>
      <c r="M8" s="74">
        <f>Table14671011[[#This Row],[Quantity]]*AD8-Table14671011[[#This Row],[STOCK]]</f>
        <v>3000</v>
      </c>
      <c r="N8" s="74">
        <f>IF(Table14671011[[#This Row],[Interim Value]]&lt;0,0,Table14671011[[#This Row],[Interim Value]])</f>
        <v>3000</v>
      </c>
      <c r="O8" s="105">
        <f>Table14671011[[#This Row],[Kitting Quantity]]*Table14671011[[#This Row],[Total]]</f>
        <v>1800</v>
      </c>
      <c r="P8" s="11" t="s">
        <v>382</v>
      </c>
      <c r="Q8" s="11" t="s">
        <v>370</v>
      </c>
      <c r="AD8">
        <f>N1</f>
        <v>3000</v>
      </c>
    </row>
    <row r="9" spans="1:30" ht="13.5" customHeight="1">
      <c r="A9" s="24">
        <v>4</v>
      </c>
      <c r="B9" s="84" t="s">
        <v>318</v>
      </c>
      <c r="C9" s="35">
        <v>1</v>
      </c>
      <c r="D9" s="36" t="s">
        <v>24</v>
      </c>
      <c r="E9" s="71" t="s">
        <v>237</v>
      </c>
      <c r="F9" s="36" t="s">
        <v>267</v>
      </c>
      <c r="G9" s="77">
        <v>0.1</v>
      </c>
      <c r="H9" s="36" t="s">
        <v>284</v>
      </c>
      <c r="I9" s="72" t="s">
        <v>293</v>
      </c>
      <c r="J9" s="74">
        <v>0.72</v>
      </c>
      <c r="K9" s="74">
        <f>Table14671011[[#This Row],[Unit Cost]]*Table14671011[[#This Row],[Quantity]]</f>
        <v>0.72</v>
      </c>
      <c r="L9" s="74">
        <v>0</v>
      </c>
      <c r="M9" s="74">
        <f>Table14671011[[#This Row],[Quantity]]*AD9-Table14671011[[#This Row],[STOCK]]</f>
        <v>3000</v>
      </c>
      <c r="N9" s="74">
        <f>IF(Table14671011[[#This Row],[Interim Value]]&lt;0,0,Table14671011[[#This Row],[Interim Value]])</f>
        <v>3000</v>
      </c>
      <c r="O9" s="105">
        <f>Table14671011[[#This Row],[Kitting Quantity]]*Table14671011[[#This Row],[Total]]</f>
        <v>2160</v>
      </c>
      <c r="P9" s="11" t="s">
        <v>383</v>
      </c>
      <c r="Q9" s="11" t="s">
        <v>373</v>
      </c>
      <c r="AD9">
        <f>N1</f>
        <v>3000</v>
      </c>
    </row>
    <row r="10" spans="1:30">
      <c r="A10" s="24">
        <v>5</v>
      </c>
      <c r="B10" s="84" t="s">
        <v>319</v>
      </c>
      <c r="C10" s="35">
        <v>1</v>
      </c>
      <c r="D10" s="36" t="s">
        <v>97</v>
      </c>
      <c r="E10" s="36" t="s">
        <v>238</v>
      </c>
      <c r="F10" s="36" t="s">
        <v>268</v>
      </c>
      <c r="G10" s="77">
        <v>0.05</v>
      </c>
      <c r="H10" s="36" t="s">
        <v>283</v>
      </c>
      <c r="I10" s="72" t="s">
        <v>292</v>
      </c>
      <c r="J10" s="74">
        <v>0.5</v>
      </c>
      <c r="K10" s="74">
        <f>Table14671011[[#This Row],[Unit Cost]]*Table14671011[[#This Row],[Quantity]]</f>
        <v>0.5</v>
      </c>
      <c r="L10" s="74">
        <v>0</v>
      </c>
      <c r="M10" s="74">
        <f>Table14671011[[#This Row],[Quantity]]*AD10-Table14671011[[#This Row],[STOCK]]</f>
        <v>3000</v>
      </c>
      <c r="N10" s="74">
        <f>IF(Table14671011[[#This Row],[Interim Value]]&lt;0,0,Table14671011[[#This Row],[Interim Value]])</f>
        <v>3000</v>
      </c>
      <c r="O10" s="105">
        <f>Table14671011[[#This Row],[Kitting Quantity]]*Table14671011[[#This Row],[Total]]</f>
        <v>1500</v>
      </c>
      <c r="P10" s="11" t="s">
        <v>292</v>
      </c>
      <c r="Q10" s="11" t="s">
        <v>370</v>
      </c>
      <c r="AD10">
        <f>N1</f>
        <v>3000</v>
      </c>
    </row>
    <row r="11" spans="1:30" ht="24.75" customHeight="1">
      <c r="A11" s="24">
        <v>6</v>
      </c>
      <c r="B11" s="84" t="s">
        <v>19</v>
      </c>
      <c r="C11" s="35">
        <v>1</v>
      </c>
      <c r="D11" s="36" t="s">
        <v>95</v>
      </c>
      <c r="E11" s="36" t="s">
        <v>239</v>
      </c>
      <c r="F11" s="71" t="s">
        <v>269</v>
      </c>
      <c r="G11" s="77">
        <v>0.05</v>
      </c>
      <c r="H11" s="36" t="s">
        <v>284</v>
      </c>
      <c r="I11" s="72" t="s">
        <v>293</v>
      </c>
      <c r="J11" s="74">
        <v>0.63</v>
      </c>
      <c r="K11" s="74">
        <f>Table14671011[[#This Row],[Unit Cost]]*Table14671011[[#This Row],[Quantity]]</f>
        <v>0.63</v>
      </c>
      <c r="L11" s="74">
        <v>0</v>
      </c>
      <c r="M11" s="74">
        <f>Table14671011[[#This Row],[Quantity]]*AD11-Table14671011[[#This Row],[STOCK]]</f>
        <v>3000</v>
      </c>
      <c r="N11" s="74">
        <f>IF(Table14671011[[#This Row],[Interim Value]]&lt;0,0,Table14671011[[#This Row],[Interim Value]])</f>
        <v>3000</v>
      </c>
      <c r="O11" s="105">
        <f>Table14671011[[#This Row],[Kitting Quantity]]*Table14671011[[#This Row],[Total]]</f>
        <v>1890</v>
      </c>
      <c r="P11" s="11" t="s">
        <v>383</v>
      </c>
      <c r="Q11" s="11" t="s">
        <v>373</v>
      </c>
      <c r="AD11">
        <f>N1</f>
        <v>3000</v>
      </c>
    </row>
    <row r="12" spans="1:30" ht="20.25" customHeight="1">
      <c r="A12" s="24">
        <v>7</v>
      </c>
      <c r="B12" s="72" t="s">
        <v>320</v>
      </c>
      <c r="C12" s="35">
        <v>1</v>
      </c>
      <c r="D12" s="36" t="s">
        <v>22</v>
      </c>
      <c r="E12" s="71" t="s">
        <v>298</v>
      </c>
      <c r="F12" s="71" t="s">
        <v>270</v>
      </c>
      <c r="G12" s="77">
        <v>0.1</v>
      </c>
      <c r="H12" s="36" t="s">
        <v>284</v>
      </c>
      <c r="I12" s="72" t="s">
        <v>293</v>
      </c>
      <c r="J12" s="74">
        <v>2.9</v>
      </c>
      <c r="K12" s="74">
        <f>Table14671011[[#This Row],[Unit Cost]]*Table14671011[[#This Row],[Quantity]]</f>
        <v>2.9</v>
      </c>
      <c r="L12" s="74">
        <v>0</v>
      </c>
      <c r="M12" s="74">
        <f>Table14671011[[#This Row],[Quantity]]*AD12-Table14671011[[#This Row],[STOCK]]</f>
        <v>3000</v>
      </c>
      <c r="N12" s="74">
        <f>IF(Table14671011[[#This Row],[Interim Value]]&lt;0,0,Table14671011[[#This Row],[Interim Value]])</f>
        <v>3000</v>
      </c>
      <c r="O12" s="105">
        <f>Table14671011[[#This Row],[Kitting Quantity]]*Table14671011[[#This Row],[Total]]</f>
        <v>8700</v>
      </c>
      <c r="P12" s="11" t="s">
        <v>383</v>
      </c>
      <c r="Q12" s="11" t="s">
        <v>373</v>
      </c>
      <c r="AD12">
        <f>N1</f>
        <v>3000</v>
      </c>
    </row>
    <row r="13" spans="1:30">
      <c r="A13" s="24">
        <v>8</v>
      </c>
      <c r="B13" s="84" t="s">
        <v>38</v>
      </c>
      <c r="C13" s="35">
        <v>2</v>
      </c>
      <c r="D13" s="36" t="s">
        <v>257</v>
      </c>
      <c r="E13" s="36" t="s">
        <v>241</v>
      </c>
      <c r="F13" s="36" t="s">
        <v>271</v>
      </c>
      <c r="G13" s="72"/>
      <c r="H13" s="36" t="s">
        <v>285</v>
      </c>
      <c r="I13" s="72" t="s">
        <v>292</v>
      </c>
      <c r="J13" s="149">
        <v>3</v>
      </c>
      <c r="K13" s="149">
        <f>Table14671011[[#This Row],[Unit Cost]]*Table14671011[[#This Row],[Quantity]]</f>
        <v>6</v>
      </c>
      <c r="L13" s="74">
        <v>0</v>
      </c>
      <c r="M13" s="74">
        <f>Table14671011[[#This Row],[Quantity]]*AD13-Table14671011[[#This Row],[STOCK]]</f>
        <v>6000</v>
      </c>
      <c r="N13" s="74">
        <f>IF(Table14671011[[#This Row],[Interim Value]]&lt;0,0,Table14671011[[#This Row],[Interim Value]])</f>
        <v>6000</v>
      </c>
      <c r="O13" s="105">
        <f>Table14671011[[#This Row],[Kitting Quantity]]*Table14671011[[#This Row],[Total]]</f>
        <v>36000</v>
      </c>
      <c r="P13" s="11" t="s">
        <v>292</v>
      </c>
      <c r="Q13" s="11" t="s">
        <v>370</v>
      </c>
      <c r="AD13">
        <f>N1</f>
        <v>3000</v>
      </c>
    </row>
    <row r="14" spans="1:30" ht="22.5" customHeight="1">
      <c r="A14" s="24">
        <v>9</v>
      </c>
      <c r="B14" s="72" t="s">
        <v>343</v>
      </c>
      <c r="C14" s="35">
        <v>1</v>
      </c>
      <c r="D14" s="36" t="s">
        <v>87</v>
      </c>
      <c r="E14" s="31" t="s">
        <v>307</v>
      </c>
      <c r="F14" s="71" t="s">
        <v>272</v>
      </c>
      <c r="G14" s="77">
        <v>0.1</v>
      </c>
      <c r="H14" s="36" t="s">
        <v>286</v>
      </c>
      <c r="I14" s="72" t="s">
        <v>293</v>
      </c>
      <c r="J14" s="74">
        <v>2.75</v>
      </c>
      <c r="K14" s="74">
        <f>Table14671011[[#This Row],[Unit Cost]]*Table14671011[[#This Row],[Quantity]]</f>
        <v>2.75</v>
      </c>
      <c r="L14" s="74">
        <v>0</v>
      </c>
      <c r="M14" s="74">
        <f>Table14671011[[#This Row],[Quantity]]*AD14-Table14671011[[#This Row],[STOCK]]</f>
        <v>3000</v>
      </c>
      <c r="N14" s="74">
        <f>IF(Table14671011[[#This Row],[Interim Value]]&lt;0,0,Table14671011[[#This Row],[Interim Value]])</f>
        <v>3000</v>
      </c>
      <c r="O14" s="105">
        <f>Table14671011[[#This Row],[Kitting Quantity]]*Table14671011[[#This Row],[Total]]</f>
        <v>8250</v>
      </c>
      <c r="P14" s="11" t="s">
        <v>292</v>
      </c>
      <c r="Q14" s="11" t="s">
        <v>370</v>
      </c>
      <c r="AD14">
        <f>N1</f>
        <v>3000</v>
      </c>
    </row>
    <row r="15" spans="1:30" ht="19.5" customHeight="1">
      <c r="A15" s="24">
        <v>10</v>
      </c>
      <c r="B15" s="84" t="s">
        <v>322</v>
      </c>
      <c r="C15" s="35">
        <v>1</v>
      </c>
      <c r="D15" s="36" t="s">
        <v>100</v>
      </c>
      <c r="E15" s="36" t="s">
        <v>243</v>
      </c>
      <c r="F15" s="71" t="s">
        <v>273</v>
      </c>
      <c r="G15" s="77"/>
      <c r="H15" s="36"/>
      <c r="I15" s="72" t="s">
        <v>293</v>
      </c>
      <c r="J15" s="74">
        <v>1.75</v>
      </c>
      <c r="K15" s="74">
        <f>Table14671011[[#This Row],[Unit Cost]]*Table14671011[[#This Row],[Quantity]]</f>
        <v>1.75</v>
      </c>
      <c r="L15" s="74">
        <v>0</v>
      </c>
      <c r="M15" s="74">
        <f>Table14671011[[#This Row],[Quantity]]*AD15-Table14671011[[#This Row],[STOCK]]</f>
        <v>3000</v>
      </c>
      <c r="N15" s="74">
        <f>IF(Table14671011[[#This Row],[Interim Value]]&lt;0,0,Table14671011[[#This Row],[Interim Value]])</f>
        <v>3000</v>
      </c>
      <c r="O15" s="105">
        <f>Table14671011[[#This Row],[Kitting Quantity]]*Table14671011[[#This Row],[Total]]</f>
        <v>5250</v>
      </c>
      <c r="P15" s="11" t="s">
        <v>382</v>
      </c>
      <c r="Q15" s="11" t="s">
        <v>370</v>
      </c>
      <c r="AD15">
        <f>N1</f>
        <v>3000</v>
      </c>
    </row>
    <row r="16" spans="1:30">
      <c r="A16" s="24">
        <v>11</v>
      </c>
      <c r="B16" s="84" t="s">
        <v>323</v>
      </c>
      <c r="C16" s="35">
        <v>1</v>
      </c>
      <c r="D16" s="36" t="s">
        <v>258</v>
      </c>
      <c r="E16" s="36" t="s">
        <v>244</v>
      </c>
      <c r="F16" s="71" t="s">
        <v>274</v>
      </c>
      <c r="G16" s="77"/>
      <c r="H16" s="36" t="s">
        <v>287</v>
      </c>
      <c r="I16" s="72" t="s">
        <v>292</v>
      </c>
      <c r="J16" s="74">
        <v>0.65</v>
      </c>
      <c r="K16" s="74">
        <f>Table14671011[[#This Row],[Unit Cost]]*Table14671011[[#This Row],[Quantity]]</f>
        <v>0.65</v>
      </c>
      <c r="L16" s="74">
        <v>0</v>
      </c>
      <c r="M16" s="74">
        <f>Table14671011[[#This Row],[Quantity]]*AD16-Table14671011[[#This Row],[STOCK]]</f>
        <v>3000</v>
      </c>
      <c r="N16" s="74">
        <f>IF(Table14671011[[#This Row],[Interim Value]]&lt;0,0,Table14671011[[#This Row],[Interim Value]])</f>
        <v>3000</v>
      </c>
      <c r="O16" s="105">
        <f>Table14671011[[#This Row],[Kitting Quantity]]*Table14671011[[#This Row],[Total]]</f>
        <v>1950</v>
      </c>
      <c r="P16" s="11" t="s">
        <v>292</v>
      </c>
      <c r="Q16" s="11" t="s">
        <v>370</v>
      </c>
      <c r="AD16">
        <f>N1</f>
        <v>3000</v>
      </c>
    </row>
    <row r="17" spans="1:30">
      <c r="A17" s="24">
        <v>12</v>
      </c>
      <c r="B17" s="84" t="s">
        <v>323</v>
      </c>
      <c r="C17" s="35">
        <v>1</v>
      </c>
      <c r="D17" s="36" t="s">
        <v>259</v>
      </c>
      <c r="E17" s="36" t="s">
        <v>244</v>
      </c>
      <c r="F17" s="71" t="s">
        <v>274</v>
      </c>
      <c r="G17" s="72"/>
      <c r="H17" s="36" t="s">
        <v>287</v>
      </c>
      <c r="I17" s="72" t="s">
        <v>292</v>
      </c>
      <c r="J17" s="74">
        <v>0.65</v>
      </c>
      <c r="K17" s="74">
        <f>Table14671011[[#This Row],[Unit Cost]]*Table14671011[[#This Row],[Quantity]]</f>
        <v>0.65</v>
      </c>
      <c r="L17" s="74">
        <v>0</v>
      </c>
      <c r="M17" s="74">
        <f>Table14671011[[#This Row],[Quantity]]*AD17-Table14671011[[#This Row],[STOCK]]</f>
        <v>3000</v>
      </c>
      <c r="N17" s="74">
        <f>IF(Table14671011[[#This Row],[Interim Value]]&lt;0,0,Table14671011[[#This Row],[Interim Value]])</f>
        <v>3000</v>
      </c>
      <c r="O17" s="105">
        <f>Table14671011[[#This Row],[Kitting Quantity]]*Table14671011[[#This Row],[Total]]</f>
        <v>1950</v>
      </c>
      <c r="P17" s="11" t="s">
        <v>292</v>
      </c>
      <c r="Q17" s="11" t="s">
        <v>370</v>
      </c>
      <c r="AD17">
        <f>N1</f>
        <v>3000</v>
      </c>
    </row>
    <row r="18" spans="1:30" ht="17.25" customHeight="1">
      <c r="A18" s="24">
        <v>13</v>
      </c>
      <c r="B18" s="84" t="s">
        <v>27</v>
      </c>
      <c r="C18" s="35">
        <v>1</v>
      </c>
      <c r="D18" s="36" t="s">
        <v>260</v>
      </c>
      <c r="E18" s="36" t="s">
        <v>29</v>
      </c>
      <c r="F18" s="36" t="s">
        <v>164</v>
      </c>
      <c r="G18" s="72"/>
      <c r="H18" s="71" t="s">
        <v>288</v>
      </c>
      <c r="I18" s="72" t="s">
        <v>293</v>
      </c>
      <c r="J18" s="74">
        <v>3.5</v>
      </c>
      <c r="K18" s="74">
        <f>Table14671011[[#This Row],[Unit Cost]]*Table14671011[[#This Row],[Quantity]]</f>
        <v>3.5</v>
      </c>
      <c r="L18" s="74">
        <v>0</v>
      </c>
      <c r="M18" s="74">
        <f>Table14671011[[#This Row],[Quantity]]*AD18-Table14671011[[#This Row],[STOCK]]</f>
        <v>3000</v>
      </c>
      <c r="N18" s="74">
        <f>IF(Table14671011[[#This Row],[Interim Value]]&lt;0,0,Table14671011[[#This Row],[Interim Value]])</f>
        <v>3000</v>
      </c>
      <c r="O18" s="105">
        <f>Table14671011[[#This Row],[Kitting Quantity]]*Table14671011[[#This Row],[Total]]</f>
        <v>10500</v>
      </c>
      <c r="P18" s="11" t="s">
        <v>292</v>
      </c>
      <c r="Q18" s="11" t="s">
        <v>370</v>
      </c>
      <c r="AD18">
        <f>N1</f>
        <v>3000</v>
      </c>
    </row>
    <row r="19" spans="1:30">
      <c r="A19" s="24">
        <v>14</v>
      </c>
      <c r="B19" s="84" t="s">
        <v>205</v>
      </c>
      <c r="C19" s="35">
        <v>1</v>
      </c>
      <c r="D19" s="36" t="s">
        <v>110</v>
      </c>
      <c r="E19" s="71" t="s">
        <v>295</v>
      </c>
      <c r="F19" s="36" t="s">
        <v>167</v>
      </c>
      <c r="G19" s="72"/>
      <c r="H19" s="36" t="s">
        <v>289</v>
      </c>
      <c r="I19" s="78" t="s">
        <v>293</v>
      </c>
      <c r="J19" s="74">
        <v>2.5</v>
      </c>
      <c r="K19" s="74">
        <f>Table14671011[[#This Row],[Unit Cost]]*Table14671011[[#This Row],[Quantity]]</f>
        <v>2.5</v>
      </c>
      <c r="L19" s="74">
        <v>0</v>
      </c>
      <c r="M19" s="74">
        <f>Table14671011[[#This Row],[Quantity]]*AD19-Table14671011[[#This Row],[STOCK]]</f>
        <v>3000</v>
      </c>
      <c r="N19" s="74">
        <f>IF(Table14671011[[#This Row],[Interim Value]]&lt;0,0,Table14671011[[#This Row],[Interim Value]])</f>
        <v>3000</v>
      </c>
      <c r="O19" s="105">
        <f>Table14671011[[#This Row],[Kitting Quantity]]*Table14671011[[#This Row],[Total]]</f>
        <v>7500</v>
      </c>
      <c r="P19" s="11" t="s">
        <v>382</v>
      </c>
      <c r="Q19" s="11" t="s">
        <v>370</v>
      </c>
      <c r="AD19">
        <f>N1</f>
        <v>3000</v>
      </c>
    </row>
    <row r="20" spans="1:30">
      <c r="A20" s="24">
        <v>15</v>
      </c>
      <c r="B20" s="72" t="s">
        <v>324</v>
      </c>
      <c r="C20" s="35">
        <v>2</v>
      </c>
      <c r="D20" s="36" t="s">
        <v>261</v>
      </c>
      <c r="E20" s="36" t="s">
        <v>245</v>
      </c>
      <c r="F20" s="36" t="s">
        <v>275</v>
      </c>
      <c r="G20" s="77">
        <v>0.05</v>
      </c>
      <c r="H20" s="72" t="s">
        <v>230</v>
      </c>
      <c r="I20" s="72" t="s">
        <v>172</v>
      </c>
      <c r="J20" s="74">
        <v>5</v>
      </c>
      <c r="K20" s="74">
        <f>Table14671011[[#This Row],[Unit Cost]]*Table14671011[[#This Row],[Quantity]]</f>
        <v>10</v>
      </c>
      <c r="L20" s="74">
        <v>0</v>
      </c>
      <c r="M20" s="74">
        <f>Table14671011[[#This Row],[Quantity]]*AD20-Table14671011[[#This Row],[STOCK]]</f>
        <v>6000</v>
      </c>
      <c r="N20" s="74">
        <f>IF(Table14671011[[#This Row],[Interim Value]]&lt;0,0,Table14671011[[#This Row],[Interim Value]])</f>
        <v>6000</v>
      </c>
      <c r="O20" s="105">
        <f>Table14671011[[#This Row],[Kitting Quantity]]*Table14671011[[#This Row],[Total]]</f>
        <v>60000</v>
      </c>
      <c r="P20" s="11" t="s">
        <v>385</v>
      </c>
      <c r="Q20" s="11" t="s">
        <v>386</v>
      </c>
      <c r="AD20">
        <f>N1</f>
        <v>3000</v>
      </c>
    </row>
    <row r="21" spans="1:30" ht="15.75" thickBot="1">
      <c r="A21" s="177">
        <v>16</v>
      </c>
      <c r="B21" s="178" t="s">
        <v>461</v>
      </c>
      <c r="C21" s="188">
        <v>1</v>
      </c>
      <c r="D21" s="81" t="s">
        <v>43</v>
      </c>
      <c r="E21" s="81" t="s">
        <v>458</v>
      </c>
      <c r="F21" s="81" t="s">
        <v>276</v>
      </c>
      <c r="G21" s="183"/>
      <c r="H21" s="81" t="s">
        <v>290</v>
      </c>
      <c r="I21" s="183" t="s">
        <v>293</v>
      </c>
      <c r="J21" s="184">
        <v>23</v>
      </c>
      <c r="K21" s="184">
        <f>Table14671011[[#This Row],[Unit Cost]]*Table14671011[[#This Row],[Quantity]]</f>
        <v>23</v>
      </c>
      <c r="L21" s="184">
        <v>0</v>
      </c>
      <c r="M21" s="184">
        <f>Table14671011[[#This Row],[Quantity]]*AD21-Table14671011[[#This Row],[STOCK]]</f>
        <v>3000</v>
      </c>
      <c r="N21" s="74">
        <f>IF(Table14671011[[#This Row],[Interim Value]]&lt;0,0,Table14671011[[#This Row],[Interim Value]])</f>
        <v>3000</v>
      </c>
      <c r="O21" s="105">
        <f>Table14671011[[#This Row],[Kitting Quantity]]*Table14671011[[#This Row],[Total]]</f>
        <v>69000</v>
      </c>
      <c r="P21" s="186" t="s">
        <v>382</v>
      </c>
      <c r="Q21" s="186" t="s">
        <v>370</v>
      </c>
      <c r="AD21">
        <f>N1</f>
        <v>3000</v>
      </c>
    </row>
    <row r="22" spans="1:30">
      <c r="A22" s="24">
        <v>17</v>
      </c>
      <c r="B22" s="72" t="s">
        <v>325</v>
      </c>
      <c r="C22" s="35">
        <v>2</v>
      </c>
      <c r="D22" s="36" t="s">
        <v>262</v>
      </c>
      <c r="E22" s="36" t="s">
        <v>374</v>
      </c>
      <c r="F22" s="36" t="s">
        <v>277</v>
      </c>
      <c r="G22" s="77"/>
      <c r="H22" s="36" t="s">
        <v>228</v>
      </c>
      <c r="I22" s="72" t="s">
        <v>292</v>
      </c>
      <c r="J22" s="74">
        <v>0.15</v>
      </c>
      <c r="K22" s="74">
        <f>Table14671011[[#This Row],[Unit Cost]]*Table14671011[[#This Row],[Quantity]]</f>
        <v>0.3</v>
      </c>
      <c r="L22" s="74">
        <v>0</v>
      </c>
      <c r="M22" s="74">
        <f>Table14671011[[#This Row],[Quantity]]*AD22-Table14671011[[#This Row],[STOCK]]</f>
        <v>6000</v>
      </c>
      <c r="N22" s="74">
        <f>IF(Table14671011[[#This Row],[Interim Value]]&lt;0,0,Table14671011[[#This Row],[Interim Value]])</f>
        <v>6000</v>
      </c>
      <c r="O22" s="105">
        <f>Table14671011[[#This Row],[Kitting Quantity]]*Table14671011[[#This Row],[Total]]</f>
        <v>1800</v>
      </c>
      <c r="P22" s="11" t="s">
        <v>364</v>
      </c>
      <c r="Q22" s="11" t="s">
        <v>384</v>
      </c>
      <c r="AD22">
        <f>N1</f>
        <v>3000</v>
      </c>
    </row>
    <row r="23" spans="1:30">
      <c r="A23" s="24">
        <v>18</v>
      </c>
      <c r="B23" s="72" t="s">
        <v>223</v>
      </c>
      <c r="C23" s="35">
        <v>1</v>
      </c>
      <c r="D23" s="36" t="s">
        <v>62</v>
      </c>
      <c r="E23" s="36" t="s">
        <v>66</v>
      </c>
      <c r="F23" s="36" t="s">
        <v>53</v>
      </c>
      <c r="G23" s="77">
        <v>0.05</v>
      </c>
      <c r="H23" s="36" t="s">
        <v>228</v>
      </c>
      <c r="I23" s="72" t="s">
        <v>292</v>
      </c>
      <c r="J23" s="74">
        <v>0.08</v>
      </c>
      <c r="K23" s="74">
        <f>Table14671011[[#This Row],[Unit Cost]]*Table14671011[[#This Row],[Quantity]]</f>
        <v>0.08</v>
      </c>
      <c r="L23" s="74">
        <v>0</v>
      </c>
      <c r="M23" s="74">
        <f>Table14671011[[#This Row],[Quantity]]*AD23-Table14671011[[#This Row],[STOCK]]</f>
        <v>3000</v>
      </c>
      <c r="N23" s="74">
        <f>IF(Table14671011[[#This Row],[Interim Value]]&lt;0,0,Table14671011[[#This Row],[Interim Value]])</f>
        <v>3000</v>
      </c>
      <c r="O23" s="105">
        <f>Table14671011[[#This Row],[Kitting Quantity]]*Table14671011[[#This Row],[Total]]</f>
        <v>240</v>
      </c>
      <c r="P23" s="11" t="s">
        <v>292</v>
      </c>
      <c r="Q23" s="11" t="s">
        <v>370</v>
      </c>
      <c r="AD23">
        <f>N1</f>
        <v>3000</v>
      </c>
    </row>
    <row r="24" spans="1:30">
      <c r="A24" s="24">
        <v>19</v>
      </c>
      <c r="B24" s="72" t="s">
        <v>326</v>
      </c>
      <c r="C24" s="35">
        <v>1</v>
      </c>
      <c r="D24" s="36" t="s">
        <v>79</v>
      </c>
      <c r="E24" s="36" t="s">
        <v>247</v>
      </c>
      <c r="F24" s="36" t="s">
        <v>278</v>
      </c>
      <c r="G24" s="77">
        <v>0.05</v>
      </c>
      <c r="H24" s="36" t="s">
        <v>228</v>
      </c>
      <c r="I24" s="72" t="s">
        <v>292</v>
      </c>
      <c r="J24" s="74">
        <v>0.21</v>
      </c>
      <c r="K24" s="74">
        <f>Table14671011[[#This Row],[Unit Cost]]*Table14671011[[#This Row],[Quantity]]</f>
        <v>0.21</v>
      </c>
      <c r="L24" s="74">
        <v>0</v>
      </c>
      <c r="M24" s="74">
        <f>Table14671011[[#This Row],[Quantity]]*AD24-Table14671011[[#This Row],[STOCK]]</f>
        <v>3000</v>
      </c>
      <c r="N24" s="74">
        <f>IF(Table14671011[[#This Row],[Interim Value]]&lt;0,0,Table14671011[[#This Row],[Interim Value]])</f>
        <v>3000</v>
      </c>
      <c r="O24" s="105">
        <f>Table14671011[[#This Row],[Kitting Quantity]]*Table14671011[[#This Row],[Total]]</f>
        <v>630</v>
      </c>
      <c r="P24" s="11" t="s">
        <v>364</v>
      </c>
      <c r="Q24" s="11" t="s">
        <v>384</v>
      </c>
      <c r="AD24">
        <f>N1</f>
        <v>3000</v>
      </c>
    </row>
    <row r="25" spans="1:30">
      <c r="A25" s="24">
        <v>20</v>
      </c>
      <c r="B25" s="72" t="s">
        <v>327</v>
      </c>
      <c r="C25" s="35">
        <v>1</v>
      </c>
      <c r="D25" s="36" t="s">
        <v>59</v>
      </c>
      <c r="E25" s="36" t="s">
        <v>248</v>
      </c>
      <c r="F25" s="36" t="s">
        <v>53</v>
      </c>
      <c r="G25" s="77">
        <v>0.05</v>
      </c>
      <c r="H25" s="36" t="s">
        <v>228</v>
      </c>
      <c r="I25" s="72" t="s">
        <v>292</v>
      </c>
      <c r="J25" s="74">
        <v>0.08</v>
      </c>
      <c r="K25" s="74">
        <f>Table14671011[[#This Row],[Unit Cost]]*Table14671011[[#This Row],[Quantity]]</f>
        <v>0.08</v>
      </c>
      <c r="L25" s="74">
        <v>0</v>
      </c>
      <c r="M25" s="74">
        <f>Table14671011[[#This Row],[Quantity]]*AD25-Table14671011[[#This Row],[STOCK]]</f>
        <v>3000</v>
      </c>
      <c r="N25" s="74">
        <f>IF(Table14671011[[#This Row],[Interim Value]]&lt;0,0,Table14671011[[#This Row],[Interim Value]])</f>
        <v>3000</v>
      </c>
      <c r="O25" s="105">
        <f>Table14671011[[#This Row],[Kitting Quantity]]*Table14671011[[#This Row],[Total]]</f>
        <v>240</v>
      </c>
      <c r="P25" s="11" t="s">
        <v>292</v>
      </c>
      <c r="Q25" s="11" t="s">
        <v>370</v>
      </c>
      <c r="AD25">
        <f>N1</f>
        <v>3000</v>
      </c>
    </row>
    <row r="26" spans="1:30">
      <c r="A26" s="177">
        <v>21</v>
      </c>
      <c r="B26" s="72" t="s">
        <v>338</v>
      </c>
      <c r="C26" s="188">
        <v>1</v>
      </c>
      <c r="D26" s="81" t="s">
        <v>70</v>
      </c>
      <c r="E26" s="81" t="s">
        <v>249</v>
      </c>
      <c r="F26" s="81" t="s">
        <v>53</v>
      </c>
      <c r="G26" s="189">
        <v>0.01</v>
      </c>
      <c r="H26" s="81" t="s">
        <v>228</v>
      </c>
      <c r="I26" s="183" t="s">
        <v>292</v>
      </c>
      <c r="J26" s="184">
        <v>0.08</v>
      </c>
      <c r="K26" s="184">
        <f>Table14671011[[#This Row],[Unit Cost]]*Table14671011[[#This Row],[Quantity]]</f>
        <v>0.08</v>
      </c>
      <c r="L26" s="184">
        <v>5000</v>
      </c>
      <c r="M26" s="184">
        <f>Table14671011[[#This Row],[Quantity]]*AD26-Table14671011[[#This Row],[STOCK]]</f>
        <v>-2000</v>
      </c>
      <c r="N26" s="74">
        <f>IF(Table14671011[[#This Row],[Interim Value]]&lt;0,0,Table14671011[[#This Row],[Interim Value]])</f>
        <v>0</v>
      </c>
      <c r="O26" s="105">
        <f>Table14671011[[#This Row],[Kitting Quantity]]*Table14671011[[#This Row],[Total]]</f>
        <v>0</v>
      </c>
      <c r="P26" s="186" t="s">
        <v>292</v>
      </c>
      <c r="Q26" s="186" t="s">
        <v>370</v>
      </c>
      <c r="AD26">
        <f>N1</f>
        <v>3000</v>
      </c>
    </row>
    <row r="27" spans="1:30">
      <c r="A27" s="177">
        <v>22</v>
      </c>
      <c r="B27" s="72" t="s">
        <v>329</v>
      </c>
      <c r="C27" s="188">
        <v>1</v>
      </c>
      <c r="D27" s="81" t="s">
        <v>73</v>
      </c>
      <c r="E27" s="81" t="s">
        <v>300</v>
      </c>
      <c r="F27" s="81" t="s">
        <v>53</v>
      </c>
      <c r="G27" s="189">
        <v>0.01</v>
      </c>
      <c r="H27" s="81" t="s">
        <v>228</v>
      </c>
      <c r="I27" s="183" t="s">
        <v>292</v>
      </c>
      <c r="J27" s="184">
        <v>0.1</v>
      </c>
      <c r="K27" s="184">
        <f>Table14671011[[#This Row],[Unit Cost]]*Table14671011[[#This Row],[Quantity]]</f>
        <v>0.1</v>
      </c>
      <c r="L27" s="184">
        <v>5000</v>
      </c>
      <c r="M27" s="184">
        <f>Table14671011[[#This Row],[Quantity]]*AD27-Table14671011[[#This Row],[STOCK]]</f>
        <v>-2000</v>
      </c>
      <c r="N27" s="74">
        <f>IF(Table14671011[[#This Row],[Interim Value]]&lt;0,0,Table14671011[[#This Row],[Interim Value]])</f>
        <v>0</v>
      </c>
      <c r="O27" s="105">
        <f>Table14671011[[#This Row],[Kitting Quantity]]*Table14671011[[#This Row],[Total]]</f>
        <v>0</v>
      </c>
      <c r="P27" s="186" t="s">
        <v>292</v>
      </c>
      <c r="Q27" s="186" t="s">
        <v>370</v>
      </c>
      <c r="AD27">
        <f>N1</f>
        <v>3000</v>
      </c>
    </row>
    <row r="28" spans="1:30">
      <c r="A28" s="177">
        <v>23</v>
      </c>
      <c r="B28" s="72" t="s">
        <v>339</v>
      </c>
      <c r="C28" s="188">
        <v>1</v>
      </c>
      <c r="D28" s="81" t="s">
        <v>182</v>
      </c>
      <c r="E28" s="81" t="s">
        <v>247</v>
      </c>
      <c r="F28" s="81" t="s">
        <v>53</v>
      </c>
      <c r="G28" s="189">
        <v>0.01</v>
      </c>
      <c r="H28" s="81" t="s">
        <v>228</v>
      </c>
      <c r="I28" s="183" t="s">
        <v>292</v>
      </c>
      <c r="J28" s="184">
        <v>0.1</v>
      </c>
      <c r="K28" s="184">
        <f>Table14671011[[#This Row],[Unit Cost]]*Table14671011[[#This Row],[Quantity]]</f>
        <v>0.1</v>
      </c>
      <c r="L28" s="184">
        <v>0</v>
      </c>
      <c r="M28" s="184">
        <f>Table14671011[[#This Row],[Quantity]]*AD28-Table14671011[[#This Row],[STOCK]]</f>
        <v>3000</v>
      </c>
      <c r="N28" s="74">
        <f>IF(Table14671011[[#This Row],[Interim Value]]&lt;0,0,Table14671011[[#This Row],[Interim Value]])</f>
        <v>3000</v>
      </c>
      <c r="O28" s="105">
        <f>Table14671011[[#This Row],[Kitting Quantity]]*Table14671011[[#This Row],[Total]]</f>
        <v>300</v>
      </c>
      <c r="P28" s="186" t="s">
        <v>292</v>
      </c>
      <c r="Q28" s="186" t="s">
        <v>370</v>
      </c>
      <c r="AD28">
        <f>N1</f>
        <v>3000</v>
      </c>
    </row>
    <row r="29" spans="1:30">
      <c r="A29" s="24">
        <v>24</v>
      </c>
      <c r="B29" s="72" t="s">
        <v>331</v>
      </c>
      <c r="C29" s="35">
        <v>1</v>
      </c>
      <c r="D29" s="36" t="s">
        <v>55</v>
      </c>
      <c r="E29" s="36" t="s">
        <v>76</v>
      </c>
      <c r="F29" s="36" t="s">
        <v>53</v>
      </c>
      <c r="G29" s="77">
        <v>0.05</v>
      </c>
      <c r="H29" s="36" t="s">
        <v>228</v>
      </c>
      <c r="I29" s="72" t="s">
        <v>292</v>
      </c>
      <c r="J29" s="74">
        <v>0.08</v>
      </c>
      <c r="K29" s="74">
        <f>Table14671011[[#This Row],[Unit Cost]]*Table14671011[[#This Row],[Quantity]]</f>
        <v>0.08</v>
      </c>
      <c r="L29" s="74">
        <v>0</v>
      </c>
      <c r="M29" s="74">
        <f>Table14671011[[#This Row],[Quantity]]*AD29-Table14671011[[#This Row],[STOCK]]</f>
        <v>3000</v>
      </c>
      <c r="N29" s="74">
        <f>IF(Table14671011[[#This Row],[Interim Value]]&lt;0,0,Table14671011[[#This Row],[Interim Value]])</f>
        <v>3000</v>
      </c>
      <c r="O29" s="105">
        <f>Table14671011[[#This Row],[Kitting Quantity]]*Table14671011[[#This Row],[Total]]</f>
        <v>240</v>
      </c>
      <c r="P29" s="11" t="s">
        <v>292</v>
      </c>
      <c r="Q29" s="11" t="s">
        <v>370</v>
      </c>
      <c r="AD29">
        <f>N1</f>
        <v>3000</v>
      </c>
    </row>
    <row r="30" spans="1:30">
      <c r="A30" s="177">
        <v>25</v>
      </c>
      <c r="B30" s="72" t="s">
        <v>192</v>
      </c>
      <c r="C30" s="188">
        <v>1</v>
      </c>
      <c r="D30" s="81" t="s">
        <v>65</v>
      </c>
      <c r="E30" s="81" t="s">
        <v>124</v>
      </c>
      <c r="F30" s="81" t="s">
        <v>53</v>
      </c>
      <c r="G30" s="189">
        <v>0.01</v>
      </c>
      <c r="H30" s="81" t="s">
        <v>228</v>
      </c>
      <c r="I30" s="183" t="s">
        <v>292</v>
      </c>
      <c r="J30" s="184">
        <v>0.14000000000000001</v>
      </c>
      <c r="K30" s="184">
        <f>Table14671011[[#This Row],[Unit Cost]]*Table14671011[[#This Row],[Quantity]]</f>
        <v>0.14000000000000001</v>
      </c>
      <c r="L30" s="184">
        <v>5000</v>
      </c>
      <c r="M30" s="184">
        <f>Table14671011[[#This Row],[Quantity]]*AD30-Table14671011[[#This Row],[STOCK]]</f>
        <v>-2000</v>
      </c>
      <c r="N30" s="74">
        <f>IF(Table14671011[[#This Row],[Interim Value]]&lt;0,0,Table14671011[[#This Row],[Interim Value]])</f>
        <v>0</v>
      </c>
      <c r="O30" s="105">
        <f>Table14671011[[#This Row],[Kitting Quantity]]*Table14671011[[#This Row],[Total]]</f>
        <v>0</v>
      </c>
      <c r="P30" s="186" t="s">
        <v>292</v>
      </c>
      <c r="Q30" s="186" t="s">
        <v>370</v>
      </c>
      <c r="AD30">
        <f>N1</f>
        <v>3000</v>
      </c>
    </row>
    <row r="31" spans="1:30">
      <c r="A31" s="177">
        <v>26</v>
      </c>
      <c r="B31" s="183" t="s">
        <v>123</v>
      </c>
      <c r="C31" s="188">
        <v>1</v>
      </c>
      <c r="D31" s="81" t="s">
        <v>263</v>
      </c>
      <c r="E31" s="81" t="s">
        <v>121</v>
      </c>
      <c r="F31" s="81" t="s">
        <v>53</v>
      </c>
      <c r="G31" s="189">
        <v>0.01</v>
      </c>
      <c r="H31" s="81" t="s">
        <v>228</v>
      </c>
      <c r="I31" s="183" t="s">
        <v>292</v>
      </c>
      <c r="J31" s="184">
        <v>0.14000000000000001</v>
      </c>
      <c r="K31" s="184">
        <f>Table14671011[[#This Row],[Unit Cost]]*Table14671011[[#This Row],[Quantity]]</f>
        <v>0.14000000000000001</v>
      </c>
      <c r="L31" s="184">
        <v>0</v>
      </c>
      <c r="M31" s="184">
        <f>Table14671011[[#This Row],[Quantity]]*AD31-Table14671011[[#This Row],[STOCK]]</f>
        <v>3000</v>
      </c>
      <c r="N31" s="74">
        <f>IF(Table14671011[[#This Row],[Interim Value]]&lt;0,0,Table14671011[[#This Row],[Interim Value]])</f>
        <v>3000</v>
      </c>
      <c r="O31" s="105">
        <f>Table14671011[[#This Row],[Kitting Quantity]]*Table14671011[[#This Row],[Total]]</f>
        <v>420.00000000000006</v>
      </c>
      <c r="P31" s="186" t="s">
        <v>292</v>
      </c>
      <c r="Q31" s="186" t="s">
        <v>370</v>
      </c>
      <c r="AD31">
        <f>N1</f>
        <v>3000</v>
      </c>
    </row>
    <row r="32" spans="1:30">
      <c r="A32" s="24">
        <v>27</v>
      </c>
      <c r="B32" s="35"/>
      <c r="C32" s="35">
        <v>1</v>
      </c>
      <c r="D32" s="36" t="s">
        <v>68</v>
      </c>
      <c r="E32" s="36" t="s">
        <v>98</v>
      </c>
      <c r="F32" s="36" t="s">
        <v>53</v>
      </c>
      <c r="G32" s="77">
        <v>0.01</v>
      </c>
      <c r="H32" s="36" t="s">
        <v>228</v>
      </c>
      <c r="I32" s="72"/>
      <c r="J32" s="74"/>
      <c r="K32" s="74">
        <f>Table14671011[[#This Row],[Unit Cost]]*Table14671011[[#This Row],[Quantity]]</f>
        <v>0</v>
      </c>
      <c r="L32" s="74">
        <v>0</v>
      </c>
      <c r="M32" s="74">
        <f>Table14671011[[#This Row],[Quantity]]*AD32-Table14671011[[#This Row],[STOCK]]</f>
        <v>3000</v>
      </c>
      <c r="N32" s="74">
        <f>IF(Table14671011[[#This Row],[Interim Value]]&lt;0,0,Table14671011[[#This Row],[Interim Value]])</f>
        <v>3000</v>
      </c>
      <c r="O32" s="105">
        <f>Table14671011[[#This Row],[Kitting Quantity]]*Table14671011[[#This Row],[Total]]</f>
        <v>0</v>
      </c>
      <c r="P32" s="11" t="s">
        <v>292</v>
      </c>
      <c r="Q32" s="11" t="s">
        <v>370</v>
      </c>
      <c r="AD32">
        <f>N1</f>
        <v>3000</v>
      </c>
    </row>
    <row r="33" spans="1:30">
      <c r="A33" s="24">
        <v>28</v>
      </c>
      <c r="B33" s="72" t="s">
        <v>332</v>
      </c>
      <c r="C33" s="35">
        <v>1</v>
      </c>
      <c r="D33" s="36" t="s">
        <v>264</v>
      </c>
      <c r="E33" s="36" t="s">
        <v>251</v>
      </c>
      <c r="F33" s="36" t="s">
        <v>302</v>
      </c>
      <c r="G33" s="77">
        <v>0.05</v>
      </c>
      <c r="H33" s="36" t="s">
        <v>291</v>
      </c>
      <c r="I33" s="72" t="s">
        <v>172</v>
      </c>
      <c r="J33" s="74">
        <v>16</v>
      </c>
      <c r="K33" s="74">
        <f>Table14671011[[#This Row],[Unit Cost]]*Table14671011[[#This Row],[Quantity]]</f>
        <v>16</v>
      </c>
      <c r="L33" s="74">
        <v>0</v>
      </c>
      <c r="M33" s="74">
        <f>Table14671011[[#This Row],[Quantity]]*AD33-Table14671011[[#This Row],[STOCK]]</f>
        <v>3000</v>
      </c>
      <c r="N33" s="74">
        <f>IF(Table14671011[[#This Row],[Interim Value]]&lt;0,0,Table14671011[[#This Row],[Interim Value]])</f>
        <v>3000</v>
      </c>
      <c r="O33" s="105">
        <f>Table14671011[[#This Row],[Kitting Quantity]]*Table14671011[[#This Row],[Total]]</f>
        <v>48000</v>
      </c>
      <c r="P33" s="11" t="s">
        <v>172</v>
      </c>
      <c r="Q33" s="11" t="s">
        <v>366</v>
      </c>
      <c r="AD33">
        <f>N1</f>
        <v>3000</v>
      </c>
    </row>
    <row r="34" spans="1:30">
      <c r="A34" s="24">
        <v>29</v>
      </c>
      <c r="B34" s="11" t="s">
        <v>333</v>
      </c>
      <c r="C34" s="35">
        <v>1</v>
      </c>
      <c r="D34" s="36" t="s">
        <v>84</v>
      </c>
      <c r="E34" s="36" t="s">
        <v>252</v>
      </c>
      <c r="F34" s="36" t="s">
        <v>280</v>
      </c>
      <c r="G34" s="6"/>
      <c r="H34" s="4" t="s">
        <v>230</v>
      </c>
      <c r="I34" s="6" t="s">
        <v>185</v>
      </c>
      <c r="J34" s="74">
        <v>20</v>
      </c>
      <c r="K34" s="74">
        <f>Table14671011[[#This Row],[Unit Cost]]*Table14671011[[#This Row],[Quantity]]</f>
        <v>20</v>
      </c>
      <c r="L34" s="74">
        <v>0</v>
      </c>
      <c r="M34" s="74">
        <f>Table14671011[[#This Row],[Quantity]]*AD34-Table14671011[[#This Row],[STOCK]]</f>
        <v>3000</v>
      </c>
      <c r="N34" s="74">
        <f>IF(Table14671011[[#This Row],[Interim Value]]&lt;0,0,Table14671011[[#This Row],[Interim Value]])</f>
        <v>3000</v>
      </c>
      <c r="O34" s="105">
        <f>Table14671011[[#This Row],[Kitting Quantity]]*Table14671011[[#This Row],[Total]]</f>
        <v>60000</v>
      </c>
      <c r="P34" s="11" t="s">
        <v>185</v>
      </c>
      <c r="Q34" s="11" t="s">
        <v>367</v>
      </c>
      <c r="AD34">
        <f>N1</f>
        <v>3000</v>
      </c>
    </row>
    <row r="35" spans="1:30">
      <c r="A35" s="24">
        <v>30</v>
      </c>
      <c r="B35" s="72" t="s">
        <v>334</v>
      </c>
      <c r="C35" s="72">
        <v>1</v>
      </c>
      <c r="D35" s="72"/>
      <c r="E35" s="72" t="s">
        <v>253</v>
      </c>
      <c r="F35" s="72" t="s">
        <v>281</v>
      </c>
      <c r="G35" s="6"/>
      <c r="H35" s="6"/>
      <c r="I35" s="6" t="s">
        <v>234</v>
      </c>
      <c r="J35" s="74">
        <v>8.4</v>
      </c>
      <c r="K35" s="74">
        <f>Table14671011[[#This Row],[Unit Cost]]*Table14671011[[#This Row],[Quantity]]</f>
        <v>8.4</v>
      </c>
      <c r="L35" s="74">
        <v>0</v>
      </c>
      <c r="M35" s="74">
        <f>Table14671011[[#This Row],[Quantity]]*AD35-Table14671011[[#This Row],[STOCK]]</f>
        <v>3000</v>
      </c>
      <c r="N35" s="74">
        <f>IF(Table14671011[[#This Row],[Interim Value]]&lt;0,0,Table14671011[[#This Row],[Interim Value]])</f>
        <v>3000</v>
      </c>
      <c r="O35" s="105">
        <f>Table14671011[[#This Row],[Kitting Quantity]]*Table14671011[[#This Row],[Total]]</f>
        <v>25200</v>
      </c>
      <c r="P35" s="11" t="s">
        <v>188</v>
      </c>
      <c r="Q35" s="11" t="s">
        <v>370</v>
      </c>
      <c r="AD35">
        <f>N1</f>
        <v>3000</v>
      </c>
    </row>
    <row r="36" spans="1:30">
      <c r="A36" s="24">
        <v>31</v>
      </c>
      <c r="B36" s="84" t="s">
        <v>335</v>
      </c>
      <c r="C36" s="3">
        <v>1</v>
      </c>
      <c r="D36" s="4" t="s">
        <v>254</v>
      </c>
      <c r="E36" s="4" t="s">
        <v>254</v>
      </c>
      <c r="F36" s="6"/>
      <c r="G36" s="6"/>
      <c r="H36" s="6"/>
      <c r="I36" s="6" t="s">
        <v>294</v>
      </c>
      <c r="J36" s="74">
        <v>2.75</v>
      </c>
      <c r="K36" s="74">
        <f>Table14671011[[#This Row],[Unit Cost]]*Table14671011[[#This Row],[Quantity]]</f>
        <v>2.75</v>
      </c>
      <c r="L36" s="74">
        <v>0</v>
      </c>
      <c r="M36" s="74">
        <f>Table14671011[[#This Row],[Quantity]]*AD36-Table14671011[[#This Row],[STOCK]]</f>
        <v>3000</v>
      </c>
      <c r="N36" s="74">
        <f>IF(Table14671011[[#This Row],[Interim Value]]&lt;0,0,Table14671011[[#This Row],[Interim Value]])</f>
        <v>3000</v>
      </c>
      <c r="O36" s="105">
        <f>Table14671011[[#This Row],[Kitting Quantity]]*Table14671011[[#This Row],[Total]]</f>
        <v>8250</v>
      </c>
      <c r="P36" s="11" t="s">
        <v>387</v>
      </c>
      <c r="Q36" s="11" t="s">
        <v>370</v>
      </c>
      <c r="AD36">
        <f>N1</f>
        <v>3000</v>
      </c>
    </row>
    <row r="37" spans="1:30">
      <c r="A37" s="24">
        <v>33</v>
      </c>
      <c r="B37" s="72" t="s">
        <v>353</v>
      </c>
      <c r="C37" s="40">
        <v>1</v>
      </c>
      <c r="D37" s="41"/>
      <c r="E37" s="83" t="s">
        <v>296</v>
      </c>
      <c r="F37" s="39" t="s">
        <v>297</v>
      </c>
      <c r="G37" s="39"/>
      <c r="H37" s="39"/>
      <c r="I37" s="39"/>
      <c r="J37" s="82">
        <v>0.2</v>
      </c>
      <c r="K37" s="82">
        <f>Table14671011[[#This Row],[Unit Cost]]*Table14671011[[#This Row],[Quantity]]</f>
        <v>0.2</v>
      </c>
      <c r="L37" s="82">
        <v>0</v>
      </c>
      <c r="M37" s="82">
        <f>Table14671011[[#This Row],[Quantity]]*AD37-Table14671011[[#This Row],[STOCK]]</f>
        <v>3000</v>
      </c>
      <c r="N37" s="74">
        <f>IF(Table14671011[[#This Row],[Interim Value]]&lt;0,0,Table14671011[[#This Row],[Interim Value]])</f>
        <v>3000</v>
      </c>
      <c r="O37" s="105">
        <f>Table14671011[[#This Row],[Kitting Quantity]]*Table14671011[[#This Row],[Total]]</f>
        <v>600</v>
      </c>
      <c r="P37" s="11"/>
      <c r="Q37" s="11" t="s">
        <v>367</v>
      </c>
      <c r="AD37">
        <f>N1</f>
        <v>3000</v>
      </c>
    </row>
    <row r="38" spans="1:30">
      <c r="A38" s="24">
        <v>34</v>
      </c>
      <c r="B38" s="6" t="s">
        <v>352</v>
      </c>
      <c r="C38" s="40">
        <v>1</v>
      </c>
      <c r="D38" s="41"/>
      <c r="E38" s="83" t="s">
        <v>313</v>
      </c>
      <c r="F38" s="39" t="s">
        <v>314</v>
      </c>
      <c r="G38" s="39"/>
      <c r="H38" s="39"/>
      <c r="I38" s="39" t="s">
        <v>315</v>
      </c>
      <c r="J38" s="82">
        <v>9</v>
      </c>
      <c r="K38" s="82">
        <f>Table14671011[[#This Row],[Unit Cost]]*Table14671011[[#This Row],[Quantity]]</f>
        <v>9</v>
      </c>
      <c r="L38" s="82">
        <v>0</v>
      </c>
      <c r="M38" s="82">
        <f>Table14671011[[#This Row],[Quantity]]*AD38-Table14671011[[#This Row],[STOCK]]</f>
        <v>3000</v>
      </c>
      <c r="N38" s="74">
        <f>IF(Table14671011[[#This Row],[Interim Value]]&lt;0,0,Table14671011[[#This Row],[Interim Value]])</f>
        <v>3000</v>
      </c>
      <c r="O38" s="105">
        <f>Table14671011[[#This Row],[Kitting Quantity]]*Table14671011[[#This Row],[Total]]</f>
        <v>27000</v>
      </c>
      <c r="P38" s="11" t="s">
        <v>379</v>
      </c>
      <c r="Q38" s="11" t="s">
        <v>388</v>
      </c>
      <c r="AD38">
        <f>N1</f>
        <v>3000</v>
      </c>
    </row>
    <row r="39" spans="1:30">
      <c r="A39" s="24">
        <v>35</v>
      </c>
      <c r="B39" s="72" t="s">
        <v>336</v>
      </c>
      <c r="C39" s="40">
        <v>3</v>
      </c>
      <c r="D39" s="41"/>
      <c r="E39" s="92" t="s">
        <v>355</v>
      </c>
      <c r="F39" s="11" t="s">
        <v>354</v>
      </c>
      <c r="G39" s="39"/>
      <c r="H39" s="39"/>
      <c r="I39" s="39" t="s">
        <v>316</v>
      </c>
      <c r="J39" s="82">
        <v>0.5</v>
      </c>
      <c r="K39" s="82">
        <f>Table14671011[[#This Row],[Unit Cost]]*Table14671011[[#This Row],[Quantity]]</f>
        <v>1.5</v>
      </c>
      <c r="L39" s="82">
        <v>0</v>
      </c>
      <c r="M39" s="82">
        <f>Table14671011[[#This Row],[Quantity]]*AD39-Table14671011[[#This Row],[STOCK]]</f>
        <v>9000</v>
      </c>
      <c r="N39" s="74">
        <f>IF(Table14671011[[#This Row],[Interim Value]]&lt;0,0,Table14671011[[#This Row],[Interim Value]])</f>
        <v>9000</v>
      </c>
      <c r="O39" s="105">
        <f>Table14671011[[#This Row],[Kitting Quantity]]*Table14671011[[#This Row],[Total]]</f>
        <v>13500</v>
      </c>
      <c r="P39" s="11"/>
      <c r="Q39" s="11" t="s">
        <v>373</v>
      </c>
      <c r="AD39">
        <f>N1</f>
        <v>3000</v>
      </c>
    </row>
    <row r="40" spans="1:30">
      <c r="A40" s="25">
        <v>36</v>
      </c>
      <c r="B40" s="72" t="s">
        <v>337</v>
      </c>
      <c r="C40" s="44">
        <v>1</v>
      </c>
      <c r="D40" s="45"/>
      <c r="E40" s="92" t="s">
        <v>356</v>
      </c>
      <c r="F40" s="26" t="s">
        <v>354</v>
      </c>
      <c r="G40" s="43"/>
      <c r="H40" s="43"/>
      <c r="I40" s="43" t="s">
        <v>316</v>
      </c>
      <c r="J40" s="55">
        <v>0.5</v>
      </c>
      <c r="K40" s="55">
        <f>Table14671011[[#This Row],[Unit Cost]]*Table14671011[[#This Row],[Quantity]]</f>
        <v>0.5</v>
      </c>
      <c r="L40" s="55">
        <v>0</v>
      </c>
      <c r="M40" s="55">
        <f>Table14671011[[#This Row],[Quantity]]*AD40-Table14671011[[#This Row],[STOCK]]</f>
        <v>3000</v>
      </c>
      <c r="N40" s="74">
        <f>IF(Table14671011[[#This Row],[Interim Value]]&lt;0,0,Table14671011[[#This Row],[Interim Value]])</f>
        <v>3000</v>
      </c>
      <c r="O40" s="105">
        <f>Table14671011[[#This Row],[Kitting Quantity]]*Table14671011[[#This Row],[Total]]</f>
        <v>1500</v>
      </c>
      <c r="P40" s="11"/>
      <c r="Q40" s="11" t="s">
        <v>373</v>
      </c>
      <c r="AD40">
        <f>N1</f>
        <v>3000</v>
      </c>
    </row>
    <row r="41" spans="1:30">
      <c r="A41" s="25">
        <v>37</v>
      </c>
      <c r="B41" s="72" t="s">
        <v>351</v>
      </c>
      <c r="C41" s="93">
        <v>1</v>
      </c>
      <c r="D41" s="94"/>
      <c r="E41" s="92" t="s">
        <v>350</v>
      </c>
      <c r="F41" s="26"/>
      <c r="G41" s="26"/>
      <c r="H41" s="26"/>
      <c r="I41" s="26"/>
      <c r="J41" s="72">
        <v>1.25</v>
      </c>
      <c r="K41" s="231">
        <f>Table14671011[[#This Row],[Unit Cost]]*Table14671011[[#This Row],[Quantity]]</f>
        <v>1.25</v>
      </c>
      <c r="L41" s="148">
        <v>0</v>
      </c>
      <c r="M41" s="231">
        <f>Table14671011[[#This Row],[Quantity]]*AD41-Table14671011[[#This Row],[STOCK]]</f>
        <v>3000</v>
      </c>
      <c r="N41" s="74">
        <f>IF(Table14671011[[#This Row],[Interim Value]]&lt;0,0,Table14671011[[#This Row],[Interim Value]])</f>
        <v>3000</v>
      </c>
      <c r="O41" s="105">
        <f>Table14671011[[#This Row],[Kitting Quantity]]*Table14671011[[#This Row],[Total]]</f>
        <v>3750</v>
      </c>
      <c r="P41" s="11"/>
      <c r="Q41" s="11" t="s">
        <v>367</v>
      </c>
      <c r="AD41">
        <f>N1</f>
        <v>3000</v>
      </c>
    </row>
    <row r="42" spans="1:30">
      <c r="A42" s="25">
        <v>38</v>
      </c>
      <c r="B42" s="72" t="s">
        <v>349</v>
      </c>
      <c r="C42" s="93">
        <v>1</v>
      </c>
      <c r="D42" s="94"/>
      <c r="E42" s="92" t="s">
        <v>348</v>
      </c>
      <c r="F42" s="26"/>
      <c r="G42" s="26"/>
      <c r="H42" s="26"/>
      <c r="I42" s="26"/>
      <c r="J42" s="72">
        <v>0.3</v>
      </c>
      <c r="K42" s="231">
        <f>Table14671011[[#This Row],[Unit Cost]]*Table14671011[[#This Row],[Quantity]]</f>
        <v>0.3</v>
      </c>
      <c r="L42" s="148">
        <v>0</v>
      </c>
      <c r="M42" s="231">
        <f>Table14671011[[#This Row],[Quantity]]*AD42-Table14671011[[#This Row],[STOCK]]</f>
        <v>3000</v>
      </c>
      <c r="N42" s="74">
        <f>IF(Table14671011[[#This Row],[Interim Value]]&lt;0,0,Table14671011[[#This Row],[Interim Value]])</f>
        <v>3000</v>
      </c>
      <c r="O42" s="105">
        <f>Table14671011[[#This Row],[Kitting Quantity]]*Table14671011[[#This Row],[Total]]</f>
        <v>900</v>
      </c>
      <c r="P42" s="11"/>
      <c r="Q42" s="11" t="s">
        <v>367</v>
      </c>
      <c r="AD42">
        <f>N1</f>
        <v>3000</v>
      </c>
    </row>
    <row r="43" spans="1:30">
      <c r="A43" s="25">
        <v>39</v>
      </c>
      <c r="B43" s="26"/>
      <c r="C43" s="93">
        <v>1</v>
      </c>
      <c r="D43" s="94"/>
      <c r="E43" s="209" t="s">
        <v>196</v>
      </c>
      <c r="F43" s="26"/>
      <c r="G43" s="26"/>
      <c r="H43" s="26"/>
      <c r="I43" s="26" t="s">
        <v>477</v>
      </c>
      <c r="J43" s="106">
        <v>12</v>
      </c>
      <c r="K43" s="106">
        <f>Table14671011[[#This Row],[Unit Cost]]*Table14671011[[#This Row],[Quantity]]</f>
        <v>12</v>
      </c>
      <c r="L43" s="106"/>
      <c r="M43" s="106">
        <f>Table14671011[[#This Row],[Quantity]]*AD43-Table14671011[[#This Row],[STOCK]]</f>
        <v>3000</v>
      </c>
      <c r="N43" s="74">
        <f>IF(Table14671011[[#This Row],[Interim Value]]&lt;0,0,Table14671011[[#This Row],[Interim Value]])</f>
        <v>3000</v>
      </c>
      <c r="O43" s="105">
        <f>Table14671011[[#This Row],[Kitting Quantity]]*Table14671011[[#This Row],[Total]]</f>
        <v>36000</v>
      </c>
      <c r="P43" s="233"/>
      <c r="Q43" s="11" t="s">
        <v>370</v>
      </c>
      <c r="AD43">
        <f>N1</f>
        <v>3000</v>
      </c>
    </row>
    <row r="44" spans="1:30">
      <c r="A44" s="361" t="s">
        <v>189</v>
      </c>
      <c r="B44" s="361"/>
      <c r="C44" s="361"/>
      <c r="D44" s="361"/>
      <c r="E44" s="361"/>
      <c r="F44" s="361"/>
      <c r="G44" s="361"/>
      <c r="H44" s="361"/>
      <c r="I44" s="361"/>
      <c r="J44" s="361"/>
      <c r="K44" s="104">
        <f>SUBTOTAL(109,Table14671011[Total])</f>
        <v>136.26</v>
      </c>
      <c r="L44" s="104"/>
      <c r="M44" s="339"/>
      <c r="N44" s="339"/>
      <c r="O44" s="107">
        <f>SUM(Table14671011[PRICE])</f>
        <v>494820</v>
      </c>
      <c r="P44" s="1"/>
      <c r="Q44" s="1"/>
    </row>
    <row r="46" spans="1:30" ht="15.75" thickBot="1"/>
    <row r="47" spans="1:30">
      <c r="B47" s="249" t="s">
        <v>509</v>
      </c>
      <c r="C47" s="255">
        <f>K42+K41+K37+K34</f>
        <v>21.75</v>
      </c>
      <c r="E47" s="249" t="s">
        <v>509</v>
      </c>
      <c r="F47" s="255">
        <f t="shared" ref="F47" si="0">N42+N41+N37+N34</f>
        <v>12000</v>
      </c>
      <c r="G47" s="249" t="s">
        <v>509</v>
      </c>
      <c r="H47" s="255" t="e">
        <f t="shared" ref="H47" si="1">P42+P41+P37+P34</f>
        <v>#VALUE!</v>
      </c>
      <c r="I47" s="249" t="s">
        <v>509</v>
      </c>
      <c r="J47" s="255">
        <f>O42+O41+O37+O34</f>
        <v>65250</v>
      </c>
    </row>
    <row r="48" spans="1:30">
      <c r="B48" s="250" t="s">
        <v>492</v>
      </c>
      <c r="C48" s="251">
        <v>0</v>
      </c>
      <c r="E48" s="250" t="s">
        <v>492</v>
      </c>
      <c r="F48" s="251">
        <v>0</v>
      </c>
      <c r="G48" s="250" t="s">
        <v>492</v>
      </c>
      <c r="H48" s="251">
        <v>0</v>
      </c>
      <c r="I48" s="250" t="s">
        <v>492</v>
      </c>
      <c r="J48" s="251">
        <v>0</v>
      </c>
    </row>
    <row r="49" spans="2:10">
      <c r="B49" s="250" t="s">
        <v>493</v>
      </c>
      <c r="C49" s="253">
        <f>K38</f>
        <v>9</v>
      </c>
      <c r="E49" s="250" t="s">
        <v>493</v>
      </c>
      <c r="F49" s="253">
        <f t="shared" ref="F49" si="2">N38</f>
        <v>3000</v>
      </c>
      <c r="G49" s="250" t="s">
        <v>493</v>
      </c>
      <c r="H49" s="253" t="str">
        <f t="shared" ref="H49" si="3">P38</f>
        <v>VANSH ELECTRO</v>
      </c>
      <c r="I49" s="250" t="s">
        <v>493</v>
      </c>
      <c r="J49" s="253">
        <f>O38</f>
        <v>27000</v>
      </c>
    </row>
    <row r="50" spans="2:10">
      <c r="B50" s="250" t="s">
        <v>490</v>
      </c>
      <c r="C50" s="253">
        <f>K40+K39+K20+K12+K11+K9</f>
        <v>16.25</v>
      </c>
      <c r="E50" s="250" t="s">
        <v>490</v>
      </c>
      <c r="F50" s="253">
        <f t="shared" ref="F50" si="4">N40+N39+N20+N12+N11+N9</f>
        <v>27000</v>
      </c>
      <c r="G50" s="250" t="s">
        <v>490</v>
      </c>
      <c r="H50" s="253" t="e">
        <f t="shared" ref="H50" si="5">P40+P39+P20+P12+P11+P9</f>
        <v>#VALUE!</v>
      </c>
      <c r="I50" s="250" t="s">
        <v>490</v>
      </c>
      <c r="J50" s="253">
        <f>O40+O39+O20+O12+O11+O9</f>
        <v>87750</v>
      </c>
    </row>
    <row r="51" spans="2:10">
      <c r="B51" s="250" t="s">
        <v>494</v>
      </c>
      <c r="C51" s="253">
        <f>K43+K36+K35+K31+K30+K29+K28+K27+K26+K25+K24+K23+K22+K21+K19+K18+K17+K16+K15+K14+K13+K10+K8+K7+K6</f>
        <v>73.259999999999991</v>
      </c>
      <c r="E51" s="250" t="s">
        <v>494</v>
      </c>
      <c r="F51" s="253">
        <f t="shared" ref="F51" si="6">N43+N36+N35+N31+N30+N29+N28+N27+N26+N25+N24+N23+N22+N21+N19+N18+N17+N16+N15+N14+N13+N10+N8+N7+N6</f>
        <v>84000</v>
      </c>
      <c r="G51" s="250" t="s">
        <v>494</v>
      </c>
      <c r="H51" s="253" t="e">
        <f t="shared" ref="H51" si="7">P43+P36+P35+P31+P30+P29+P28+P27+P26+P25+P24+P23+P22+P21+P19+P18+P17+P16+P15+P14+P13+P10+P8+P7+P6</f>
        <v>#VALUE!</v>
      </c>
      <c r="I51" s="250" t="s">
        <v>494</v>
      </c>
      <c r="J51" s="253">
        <f>O43+O36+O35+O31+O30+O29+O28+O27+O26+O25+O24+O23+O22+O21+O19+O18+O17+O16+O15+O14+O13+O10+O8+O7+O6</f>
        <v>266820</v>
      </c>
    </row>
    <row r="52" spans="2:10" ht="15.75" thickBot="1">
      <c r="B52" s="252" t="s">
        <v>495</v>
      </c>
      <c r="C52" s="254">
        <f>K33</f>
        <v>16</v>
      </c>
      <c r="E52" s="252" t="s">
        <v>495</v>
      </c>
      <c r="F52" s="254">
        <f t="shared" ref="F52" si="8">N33</f>
        <v>3000</v>
      </c>
      <c r="G52" s="252" t="s">
        <v>495</v>
      </c>
      <c r="H52" s="254" t="str">
        <f t="shared" ref="H52" si="9">P33</f>
        <v>METRONIX</v>
      </c>
      <c r="I52" s="252" t="s">
        <v>495</v>
      </c>
      <c r="J52" s="254">
        <f>O33</f>
        <v>48000</v>
      </c>
    </row>
    <row r="53" spans="2:10">
      <c r="C53" s="198">
        <f>SUM(C47:C52)</f>
        <v>136.26</v>
      </c>
      <c r="J53" s="198">
        <f>SUM(J47:J52)</f>
        <v>494820</v>
      </c>
    </row>
  </sheetData>
  <mergeCells count="7">
    <mergeCell ref="A1:B1"/>
    <mergeCell ref="C1:D1"/>
    <mergeCell ref="A3:O3"/>
    <mergeCell ref="A4:O4"/>
    <mergeCell ref="A44:J44"/>
    <mergeCell ref="F1:H1"/>
    <mergeCell ref="K1:L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54"/>
  <sheetViews>
    <sheetView topLeftCell="A34" workbookViewId="0">
      <selection activeCell="O1" sqref="O1:P1"/>
    </sheetView>
  </sheetViews>
  <sheetFormatPr defaultRowHeight="15"/>
  <cols>
    <col min="2" max="2" width="20.42578125" customWidth="1"/>
    <col min="3" max="3" width="12.42578125" bestFit="1" customWidth="1"/>
    <col min="4" max="4" width="13.5703125" bestFit="1" customWidth="1"/>
    <col min="5" max="5" width="25.5703125" customWidth="1"/>
    <col min="6" max="6" width="39" hidden="1" customWidth="1"/>
    <col min="7" max="7" width="13.28515625" hidden="1" customWidth="1"/>
    <col min="8" max="8" width="27.7109375" hidden="1" customWidth="1"/>
    <col min="9" max="9" width="24.28515625" hidden="1" customWidth="1"/>
    <col min="10" max="12" width="12.7109375" customWidth="1"/>
    <col min="13" max="13" width="16.28515625" hidden="1" customWidth="1"/>
    <col min="14" max="14" width="16.28515625" customWidth="1"/>
    <col min="15" max="15" width="18.140625" bestFit="1" customWidth="1"/>
    <col min="16" max="16" width="11" style="75" customWidth="1"/>
    <col min="17" max="17" width="15.140625" customWidth="1"/>
    <col min="18" max="18" width="18.28515625" customWidth="1"/>
    <col min="28" max="28" width="9.140625" customWidth="1"/>
  </cols>
  <sheetData>
    <row r="1" spans="1:28" ht="16.5" thickBot="1">
      <c r="A1" s="348" t="s">
        <v>138</v>
      </c>
      <c r="B1" s="348"/>
      <c r="C1" s="349" t="s">
        <v>304</v>
      </c>
      <c r="D1" s="349"/>
      <c r="E1" s="366" t="s">
        <v>480</v>
      </c>
      <c r="F1" s="366"/>
      <c r="G1" s="366"/>
      <c r="H1" s="366"/>
      <c r="I1" s="366"/>
      <c r="J1" s="73"/>
      <c r="K1" s="73"/>
      <c r="L1" s="73"/>
      <c r="M1" s="73"/>
      <c r="N1" s="73"/>
      <c r="O1" s="328" t="s">
        <v>514</v>
      </c>
      <c r="P1" s="327">
        <f>'Detail-Planner'!E13</f>
        <v>1000</v>
      </c>
    </row>
    <row r="2" spans="1:28">
      <c r="A2" s="8"/>
      <c r="B2" s="8"/>
      <c r="C2" s="8"/>
      <c r="D2" s="8"/>
      <c r="E2" s="7"/>
      <c r="F2" s="234"/>
      <c r="G2" s="234"/>
      <c r="H2" s="234"/>
      <c r="I2" s="234"/>
      <c r="J2" s="73"/>
      <c r="K2" s="73"/>
      <c r="L2" s="73"/>
      <c r="M2" s="73"/>
      <c r="N2" s="73"/>
      <c r="O2" s="73"/>
      <c r="P2" s="73"/>
    </row>
    <row r="3" spans="1:28">
      <c r="A3" s="350" t="s">
        <v>390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50"/>
    </row>
    <row r="4" spans="1:28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</row>
    <row r="5" spans="1:28">
      <c r="A5" s="22" t="s">
        <v>0</v>
      </c>
      <c r="B5" s="85" t="s">
        <v>139</v>
      </c>
      <c r="C5" s="23" t="s">
        <v>1</v>
      </c>
      <c r="D5" s="23" t="s">
        <v>2</v>
      </c>
      <c r="E5" s="23" t="s">
        <v>3</v>
      </c>
      <c r="F5" s="23" t="s">
        <v>140</v>
      </c>
      <c r="G5" s="23" t="s">
        <v>141</v>
      </c>
      <c r="H5" s="23" t="s">
        <v>142</v>
      </c>
      <c r="I5" s="23" t="s">
        <v>143</v>
      </c>
      <c r="J5" s="86" t="s">
        <v>470</v>
      </c>
      <c r="K5" s="86" t="s">
        <v>476</v>
      </c>
      <c r="L5" s="145" t="s">
        <v>347</v>
      </c>
      <c r="M5" s="315" t="s">
        <v>517</v>
      </c>
      <c r="N5" s="399" t="s">
        <v>519</v>
      </c>
      <c r="O5" s="315" t="s">
        <v>514</v>
      </c>
      <c r="P5" s="86" t="s">
        <v>144</v>
      </c>
      <c r="Q5" s="151" t="s">
        <v>360</v>
      </c>
      <c r="R5" s="151" t="s">
        <v>361</v>
      </c>
    </row>
    <row r="6" spans="1:28" s="1" customFormat="1">
      <c r="A6" s="24">
        <v>1</v>
      </c>
      <c r="B6" s="84" t="s">
        <v>317</v>
      </c>
      <c r="C6" s="35">
        <v>4</v>
      </c>
      <c r="D6" s="71" t="s">
        <v>255</v>
      </c>
      <c r="E6" s="36" t="s">
        <v>236</v>
      </c>
      <c r="F6" s="72" t="s">
        <v>265</v>
      </c>
      <c r="G6" s="77">
        <v>0.1</v>
      </c>
      <c r="H6" s="36" t="s">
        <v>282</v>
      </c>
      <c r="I6" s="72" t="s">
        <v>292</v>
      </c>
      <c r="J6" s="74">
        <v>0.35</v>
      </c>
      <c r="K6" s="74">
        <f>Table1467[[#This Row],[Unit Cost]]*Table1467[[#This Row],[Quantity]]</f>
        <v>1.4</v>
      </c>
      <c r="L6" s="112">
        <v>0</v>
      </c>
      <c r="M6" s="74">
        <f>Table1467[[#This Row],[Quantity]]*AB6-Table1467[[#This Row],[STOCK]]</f>
        <v>4000</v>
      </c>
      <c r="N6" s="74">
        <f>Table1467[[#This Row],[Quantity]]*AB6-Table1467[[#This Row],[STOCK]]</f>
        <v>4000</v>
      </c>
      <c r="O6" s="74">
        <f>IF(Table1467[[#This Row],[Interim Value]]&lt;0,0,Table1467[[#This Row],[Interim Value]])</f>
        <v>4000</v>
      </c>
      <c r="P6" s="105">
        <f>Table1467[[#This Row],[Kitting Quantity]]*Table1467[[#This Row],[Total]]</f>
        <v>5600</v>
      </c>
      <c r="Q6" s="11" t="s">
        <v>292</v>
      </c>
      <c r="R6" s="11" t="s">
        <v>370</v>
      </c>
      <c r="AB6">
        <f>P1</f>
        <v>1000</v>
      </c>
    </row>
    <row r="7" spans="1:28" s="1" customFormat="1" ht="15.75" thickBot="1">
      <c r="A7" s="24">
        <v>2</v>
      </c>
      <c r="B7" s="166" t="s">
        <v>401</v>
      </c>
      <c r="C7" s="69">
        <v>2</v>
      </c>
      <c r="D7" s="70" t="s">
        <v>256</v>
      </c>
      <c r="E7" s="161" t="s">
        <v>399</v>
      </c>
      <c r="F7" s="162" t="s">
        <v>400</v>
      </c>
      <c r="G7" s="76">
        <v>0.05</v>
      </c>
      <c r="H7" s="163" t="s">
        <v>393</v>
      </c>
      <c r="I7" s="72" t="s">
        <v>292</v>
      </c>
      <c r="J7" s="74">
        <v>1.5</v>
      </c>
      <c r="K7" s="74">
        <f>Table1467[[#This Row],[Unit Cost]]*Table1467[[#This Row],[Quantity]]</f>
        <v>3</v>
      </c>
      <c r="L7" s="112">
        <v>0</v>
      </c>
      <c r="M7" s="74">
        <f>Table1467[[#This Row],[Quantity]]*AB7-Table1467[[#This Row],[STOCK]]</f>
        <v>2000</v>
      </c>
      <c r="N7" s="74">
        <f>Table1467[[#This Row],[Quantity]]*AB7-Table1467[[#This Row],[STOCK]]</f>
        <v>2000</v>
      </c>
      <c r="O7" s="74">
        <f>IF(Table1467[[#This Row],[Interim Value]]&lt;0,0,Table1467[[#This Row],[Interim Value]])</f>
        <v>2000</v>
      </c>
      <c r="P7" s="105">
        <f>Table1467[[#This Row],[Kitting Quantity]]*Table1467[[#This Row],[Total]]</f>
        <v>6000</v>
      </c>
      <c r="Q7" s="11" t="s">
        <v>292</v>
      </c>
      <c r="R7" s="11" t="s">
        <v>370</v>
      </c>
      <c r="AB7">
        <f>P1</f>
        <v>1000</v>
      </c>
    </row>
    <row r="8" spans="1:28" s="1" customFormat="1">
      <c r="A8" s="24">
        <v>3</v>
      </c>
      <c r="B8" s="11" t="s">
        <v>12</v>
      </c>
      <c r="C8" s="35">
        <v>1</v>
      </c>
      <c r="D8" s="36" t="s">
        <v>17</v>
      </c>
      <c r="E8" s="36" t="s">
        <v>149</v>
      </c>
      <c r="F8" s="36" t="s">
        <v>266</v>
      </c>
      <c r="G8" s="77">
        <v>0.05</v>
      </c>
      <c r="H8" s="36" t="s">
        <v>283</v>
      </c>
      <c r="I8" s="72" t="s">
        <v>293</v>
      </c>
      <c r="J8" s="74">
        <v>0.6</v>
      </c>
      <c r="K8" s="74">
        <f>Table1467[[#This Row],[Unit Cost]]*Table1467[[#This Row],[Quantity]]</f>
        <v>0.6</v>
      </c>
      <c r="L8" s="112">
        <v>0</v>
      </c>
      <c r="M8" s="74">
        <f>Table1467[[#This Row],[Quantity]]*AB8-Table1467[[#This Row],[STOCK]]</f>
        <v>1000</v>
      </c>
      <c r="N8" s="74">
        <f>Table1467[[#This Row],[Quantity]]*AB8-Table1467[[#This Row],[STOCK]]</f>
        <v>1000</v>
      </c>
      <c r="O8" s="74">
        <f>IF(Table1467[[#This Row],[Interim Value]]&lt;0,0,Table1467[[#This Row],[Interim Value]])</f>
        <v>1000</v>
      </c>
      <c r="P8" s="105">
        <f>Table1467[[#This Row],[Kitting Quantity]]*Table1467[[#This Row],[Total]]</f>
        <v>600</v>
      </c>
      <c r="Q8" s="11" t="s">
        <v>382</v>
      </c>
      <c r="R8" s="11" t="s">
        <v>370</v>
      </c>
      <c r="AB8">
        <f>P1</f>
        <v>1000</v>
      </c>
    </row>
    <row r="9" spans="1:28" s="1" customFormat="1">
      <c r="A9" s="24">
        <v>4</v>
      </c>
      <c r="B9" s="84" t="s">
        <v>318</v>
      </c>
      <c r="C9" s="35">
        <v>1</v>
      </c>
      <c r="D9" s="36" t="s">
        <v>24</v>
      </c>
      <c r="E9" s="71" t="s">
        <v>237</v>
      </c>
      <c r="F9" s="36" t="s">
        <v>267</v>
      </c>
      <c r="G9" s="77">
        <v>0.1</v>
      </c>
      <c r="H9" s="36" t="s">
        <v>284</v>
      </c>
      <c r="I9" s="72" t="s">
        <v>293</v>
      </c>
      <c r="J9" s="74">
        <v>0.72</v>
      </c>
      <c r="K9" s="74">
        <f>Table1467[[#This Row],[Unit Cost]]*Table1467[[#This Row],[Quantity]]</f>
        <v>0.72</v>
      </c>
      <c r="L9" s="112">
        <v>0</v>
      </c>
      <c r="M9" s="74">
        <f>Table1467[[#This Row],[Quantity]]*AB9-Table1467[[#This Row],[STOCK]]</f>
        <v>1000</v>
      </c>
      <c r="N9" s="74">
        <f>Table1467[[#This Row],[Quantity]]*AB9-Table1467[[#This Row],[STOCK]]</f>
        <v>1000</v>
      </c>
      <c r="O9" s="74">
        <f>IF(Table1467[[#This Row],[Interim Value]]&lt;0,0,Table1467[[#This Row],[Interim Value]])</f>
        <v>1000</v>
      </c>
      <c r="P9" s="105">
        <f>Table1467[[#This Row],[Kitting Quantity]]*Table1467[[#This Row],[Total]]</f>
        <v>720</v>
      </c>
      <c r="Q9" s="11" t="s">
        <v>383</v>
      </c>
      <c r="R9" s="11" t="s">
        <v>373</v>
      </c>
      <c r="AB9">
        <f>P1</f>
        <v>1000</v>
      </c>
    </row>
    <row r="10" spans="1:28" s="1" customFormat="1">
      <c r="A10" s="24">
        <v>5</v>
      </c>
      <c r="B10" s="84" t="s">
        <v>319</v>
      </c>
      <c r="C10" s="35">
        <v>1</v>
      </c>
      <c r="D10" s="36" t="s">
        <v>97</v>
      </c>
      <c r="E10" s="36" t="s">
        <v>238</v>
      </c>
      <c r="F10" s="36" t="s">
        <v>268</v>
      </c>
      <c r="G10" s="77">
        <v>0.05</v>
      </c>
      <c r="H10" s="36" t="s">
        <v>283</v>
      </c>
      <c r="I10" s="72" t="s">
        <v>292</v>
      </c>
      <c r="J10" s="74">
        <v>0.6</v>
      </c>
      <c r="K10" s="74">
        <f>Table1467[[#This Row],[Unit Cost]]*Table1467[[#This Row],[Quantity]]</f>
        <v>0.6</v>
      </c>
      <c r="L10" s="112">
        <v>0</v>
      </c>
      <c r="M10" s="74">
        <f>Table1467[[#This Row],[Quantity]]*AB10-Table1467[[#This Row],[STOCK]]</f>
        <v>1000</v>
      </c>
      <c r="N10" s="74">
        <f>Table1467[[#This Row],[Quantity]]*AB10-Table1467[[#This Row],[STOCK]]</f>
        <v>1000</v>
      </c>
      <c r="O10" s="74">
        <f>IF(Table1467[[#This Row],[Interim Value]]&lt;0,0,Table1467[[#This Row],[Interim Value]])</f>
        <v>1000</v>
      </c>
      <c r="P10" s="105">
        <f>Table1467[[#This Row],[Kitting Quantity]]*Table1467[[#This Row],[Total]]</f>
        <v>600</v>
      </c>
      <c r="Q10" s="11" t="s">
        <v>292</v>
      </c>
      <c r="R10" s="11" t="s">
        <v>370</v>
      </c>
      <c r="AB10">
        <f>P1</f>
        <v>1000</v>
      </c>
    </row>
    <row r="11" spans="1:28" s="1" customFormat="1">
      <c r="A11" s="24">
        <v>6</v>
      </c>
      <c r="B11" s="84" t="s">
        <v>19</v>
      </c>
      <c r="C11" s="35">
        <v>1</v>
      </c>
      <c r="D11" s="36" t="s">
        <v>95</v>
      </c>
      <c r="E11" s="36" t="s">
        <v>239</v>
      </c>
      <c r="F11" s="71" t="s">
        <v>269</v>
      </c>
      <c r="G11" s="77">
        <v>0.05</v>
      </c>
      <c r="H11" s="36" t="s">
        <v>284</v>
      </c>
      <c r="I11" s="72" t="s">
        <v>293</v>
      </c>
      <c r="J11" s="74">
        <v>0.63</v>
      </c>
      <c r="K11" s="74">
        <f>Table1467[[#This Row],[Unit Cost]]*Table1467[[#This Row],[Quantity]]</f>
        <v>0.63</v>
      </c>
      <c r="L11" s="112">
        <v>0</v>
      </c>
      <c r="M11" s="74">
        <f>Table1467[[#This Row],[Quantity]]*AB11-Table1467[[#This Row],[STOCK]]</f>
        <v>1000</v>
      </c>
      <c r="N11" s="74">
        <f>Table1467[[#This Row],[Quantity]]*AB11-Table1467[[#This Row],[STOCK]]</f>
        <v>1000</v>
      </c>
      <c r="O11" s="74">
        <f>IF(Table1467[[#This Row],[Interim Value]]&lt;0,0,Table1467[[#This Row],[Interim Value]])</f>
        <v>1000</v>
      </c>
      <c r="P11" s="105">
        <f>Table1467[[#This Row],[Kitting Quantity]]*Table1467[[#This Row],[Total]]</f>
        <v>630</v>
      </c>
      <c r="Q11" s="11" t="s">
        <v>383</v>
      </c>
      <c r="R11" s="11" t="s">
        <v>373</v>
      </c>
      <c r="AB11">
        <f>P1</f>
        <v>1000</v>
      </c>
    </row>
    <row r="12" spans="1:28" s="1" customFormat="1">
      <c r="A12" s="24">
        <v>7</v>
      </c>
      <c r="B12" s="72" t="s">
        <v>320</v>
      </c>
      <c r="C12" s="35">
        <v>1</v>
      </c>
      <c r="D12" s="36" t="s">
        <v>22</v>
      </c>
      <c r="E12" s="80" t="s">
        <v>298</v>
      </c>
      <c r="F12" s="71" t="s">
        <v>270</v>
      </c>
      <c r="G12" s="77">
        <v>0.1</v>
      </c>
      <c r="H12" s="36" t="s">
        <v>284</v>
      </c>
      <c r="I12" s="72" t="s">
        <v>293</v>
      </c>
      <c r="J12" s="74">
        <v>2.9</v>
      </c>
      <c r="K12" s="74">
        <f>Table1467[[#This Row],[Unit Cost]]*Table1467[[#This Row],[Quantity]]</f>
        <v>2.9</v>
      </c>
      <c r="L12" s="112">
        <v>0</v>
      </c>
      <c r="M12" s="74">
        <f>Table1467[[#This Row],[Quantity]]*AB12-Table1467[[#This Row],[STOCK]]</f>
        <v>1000</v>
      </c>
      <c r="N12" s="74">
        <f>Table1467[[#This Row],[Quantity]]*AB12-Table1467[[#This Row],[STOCK]]</f>
        <v>1000</v>
      </c>
      <c r="O12" s="74">
        <f>IF(Table1467[[#This Row],[Interim Value]]&lt;0,0,Table1467[[#This Row],[Interim Value]])</f>
        <v>1000</v>
      </c>
      <c r="P12" s="105">
        <f>Table1467[[#This Row],[Kitting Quantity]]*Table1467[[#This Row],[Total]]</f>
        <v>2900</v>
      </c>
      <c r="Q12" s="11" t="s">
        <v>383</v>
      </c>
      <c r="R12" s="11" t="s">
        <v>373</v>
      </c>
      <c r="AB12">
        <f>P1</f>
        <v>1000</v>
      </c>
    </row>
    <row r="13" spans="1:28" s="1" customFormat="1">
      <c r="A13" s="24">
        <v>8</v>
      </c>
      <c r="B13" s="84" t="s">
        <v>38</v>
      </c>
      <c r="C13" s="35">
        <v>2</v>
      </c>
      <c r="D13" s="36" t="s">
        <v>257</v>
      </c>
      <c r="E13" s="36" t="s">
        <v>241</v>
      </c>
      <c r="F13" s="36" t="s">
        <v>271</v>
      </c>
      <c r="G13" s="72"/>
      <c r="H13" s="36" t="s">
        <v>285</v>
      </c>
      <c r="I13" s="72" t="s">
        <v>292</v>
      </c>
      <c r="J13" s="74">
        <v>3</v>
      </c>
      <c r="K13" s="74">
        <f>Table1467[[#This Row],[Unit Cost]]*Table1467[[#This Row],[Quantity]]</f>
        <v>6</v>
      </c>
      <c r="L13" s="112">
        <v>0</v>
      </c>
      <c r="M13" s="74">
        <f>Table1467[[#This Row],[Quantity]]*AB13-Table1467[[#This Row],[STOCK]]</f>
        <v>2000</v>
      </c>
      <c r="N13" s="74">
        <f>Table1467[[#This Row],[Quantity]]*AB13-Table1467[[#This Row],[STOCK]]</f>
        <v>2000</v>
      </c>
      <c r="O13" s="74">
        <f>IF(Table1467[[#This Row],[Interim Value]]&lt;0,0,Table1467[[#This Row],[Interim Value]])</f>
        <v>2000</v>
      </c>
      <c r="P13" s="105">
        <f>Table1467[[#This Row],[Kitting Quantity]]*Table1467[[#This Row],[Total]]</f>
        <v>12000</v>
      </c>
      <c r="Q13" s="11" t="s">
        <v>292</v>
      </c>
      <c r="R13" s="11" t="s">
        <v>370</v>
      </c>
      <c r="AB13">
        <f>P1</f>
        <v>1000</v>
      </c>
    </row>
    <row r="14" spans="1:28" s="1" customFormat="1">
      <c r="A14" s="24">
        <v>9</v>
      </c>
      <c r="B14" s="84" t="s">
        <v>321</v>
      </c>
      <c r="C14" s="35">
        <v>1</v>
      </c>
      <c r="D14" s="36" t="s">
        <v>87</v>
      </c>
      <c r="E14" s="36" t="s">
        <v>242</v>
      </c>
      <c r="F14" s="71" t="s">
        <v>272</v>
      </c>
      <c r="G14" s="77">
        <v>0.1</v>
      </c>
      <c r="H14" s="36" t="s">
        <v>286</v>
      </c>
      <c r="I14" s="72" t="s">
        <v>293</v>
      </c>
      <c r="J14" s="74">
        <v>2.75</v>
      </c>
      <c r="K14" s="74">
        <f>Table1467[[#This Row],[Unit Cost]]*Table1467[[#This Row],[Quantity]]</f>
        <v>2.75</v>
      </c>
      <c r="L14" s="112">
        <v>0</v>
      </c>
      <c r="M14" s="74">
        <f>Table1467[[#This Row],[Quantity]]*AB14-Table1467[[#This Row],[STOCK]]</f>
        <v>1000</v>
      </c>
      <c r="N14" s="74">
        <f>Table1467[[#This Row],[Quantity]]*AB14-Table1467[[#This Row],[STOCK]]</f>
        <v>1000</v>
      </c>
      <c r="O14" s="74">
        <f>IF(Table1467[[#This Row],[Interim Value]]&lt;0,0,Table1467[[#This Row],[Interim Value]])</f>
        <v>1000</v>
      </c>
      <c r="P14" s="105">
        <f>Table1467[[#This Row],[Kitting Quantity]]*Table1467[[#This Row],[Total]]</f>
        <v>2750</v>
      </c>
      <c r="Q14" s="11" t="s">
        <v>292</v>
      </c>
      <c r="R14" s="11" t="s">
        <v>370</v>
      </c>
      <c r="AB14">
        <f>P1</f>
        <v>1000</v>
      </c>
    </row>
    <row r="15" spans="1:28" s="1" customFormat="1">
      <c r="A15" s="24">
        <v>10</v>
      </c>
      <c r="B15" s="84" t="s">
        <v>322</v>
      </c>
      <c r="C15" s="35">
        <v>1</v>
      </c>
      <c r="D15" s="36" t="s">
        <v>100</v>
      </c>
      <c r="E15" s="36" t="s">
        <v>243</v>
      </c>
      <c r="F15" s="71" t="s">
        <v>273</v>
      </c>
      <c r="G15" s="77"/>
      <c r="H15" s="36"/>
      <c r="I15" s="72" t="s">
        <v>293</v>
      </c>
      <c r="J15" s="74">
        <v>1.75</v>
      </c>
      <c r="K15" s="74">
        <f>Table1467[[#This Row],[Unit Cost]]*Table1467[[#This Row],[Quantity]]</f>
        <v>1.75</v>
      </c>
      <c r="L15" s="112">
        <v>0</v>
      </c>
      <c r="M15" s="74">
        <f>Table1467[[#This Row],[Quantity]]*AB15-Table1467[[#This Row],[STOCK]]</f>
        <v>1000</v>
      </c>
      <c r="N15" s="74">
        <f>Table1467[[#This Row],[Quantity]]*AB15-Table1467[[#This Row],[STOCK]]</f>
        <v>1000</v>
      </c>
      <c r="O15" s="74">
        <f>IF(Table1467[[#This Row],[Interim Value]]&lt;0,0,Table1467[[#This Row],[Interim Value]])</f>
        <v>1000</v>
      </c>
      <c r="P15" s="105">
        <f>Table1467[[#This Row],[Kitting Quantity]]*Table1467[[#This Row],[Total]]</f>
        <v>1750</v>
      </c>
      <c r="Q15" s="11" t="s">
        <v>382</v>
      </c>
      <c r="R15" s="11" t="s">
        <v>370</v>
      </c>
      <c r="AB15">
        <f>P1</f>
        <v>1000</v>
      </c>
    </row>
    <row r="16" spans="1:28" s="1" customFormat="1">
      <c r="A16" s="24">
        <v>11</v>
      </c>
      <c r="B16" s="84" t="s">
        <v>323</v>
      </c>
      <c r="C16" s="35">
        <v>1</v>
      </c>
      <c r="D16" s="36" t="s">
        <v>258</v>
      </c>
      <c r="E16" s="36" t="s">
        <v>244</v>
      </c>
      <c r="F16" s="71" t="s">
        <v>274</v>
      </c>
      <c r="G16" s="77"/>
      <c r="H16" s="36" t="s">
        <v>287</v>
      </c>
      <c r="I16" s="72" t="s">
        <v>292</v>
      </c>
      <c r="J16" s="74">
        <v>0.65</v>
      </c>
      <c r="K16" s="74">
        <f>Table1467[[#This Row],[Unit Cost]]*Table1467[[#This Row],[Quantity]]</f>
        <v>0.65</v>
      </c>
      <c r="L16" s="112">
        <v>0</v>
      </c>
      <c r="M16" s="74">
        <f>Table1467[[#This Row],[Quantity]]*AB16-Table1467[[#This Row],[STOCK]]</f>
        <v>1000</v>
      </c>
      <c r="N16" s="74">
        <f>Table1467[[#This Row],[Quantity]]*AB16-Table1467[[#This Row],[STOCK]]</f>
        <v>1000</v>
      </c>
      <c r="O16" s="74">
        <f>IF(Table1467[[#This Row],[Interim Value]]&lt;0,0,Table1467[[#This Row],[Interim Value]])</f>
        <v>1000</v>
      </c>
      <c r="P16" s="105">
        <f>Table1467[[#This Row],[Kitting Quantity]]*Table1467[[#This Row],[Total]]</f>
        <v>650</v>
      </c>
      <c r="Q16" s="11" t="s">
        <v>292</v>
      </c>
      <c r="R16" s="11" t="s">
        <v>370</v>
      </c>
      <c r="AB16">
        <f>P1</f>
        <v>1000</v>
      </c>
    </row>
    <row r="17" spans="1:28" s="1" customFormat="1">
      <c r="A17" s="24">
        <v>12</v>
      </c>
      <c r="B17" s="84" t="s">
        <v>323</v>
      </c>
      <c r="C17" s="35">
        <v>1</v>
      </c>
      <c r="D17" s="36" t="s">
        <v>259</v>
      </c>
      <c r="E17" s="36" t="s">
        <v>244</v>
      </c>
      <c r="F17" s="71" t="s">
        <v>274</v>
      </c>
      <c r="G17" s="72"/>
      <c r="H17" s="36" t="s">
        <v>287</v>
      </c>
      <c r="I17" s="72" t="s">
        <v>292</v>
      </c>
      <c r="J17" s="74">
        <v>0.65</v>
      </c>
      <c r="K17" s="74">
        <f>Table1467[[#This Row],[Unit Cost]]*Table1467[[#This Row],[Quantity]]</f>
        <v>0.65</v>
      </c>
      <c r="L17" s="112">
        <v>0</v>
      </c>
      <c r="M17" s="74">
        <f>Table1467[[#This Row],[Quantity]]*AB17-Table1467[[#This Row],[STOCK]]</f>
        <v>1000</v>
      </c>
      <c r="N17" s="74">
        <f>Table1467[[#This Row],[Quantity]]*AB17-Table1467[[#This Row],[STOCK]]</f>
        <v>1000</v>
      </c>
      <c r="O17" s="74">
        <f>IF(Table1467[[#This Row],[Interim Value]]&lt;0,0,Table1467[[#This Row],[Interim Value]])</f>
        <v>1000</v>
      </c>
      <c r="P17" s="105">
        <f>Table1467[[#This Row],[Kitting Quantity]]*Table1467[[#This Row],[Total]]</f>
        <v>650</v>
      </c>
      <c r="Q17" s="11" t="s">
        <v>292</v>
      </c>
      <c r="R17" s="11" t="s">
        <v>370</v>
      </c>
      <c r="AB17">
        <f>P1</f>
        <v>1000</v>
      </c>
    </row>
    <row r="18" spans="1:28" s="1" customFormat="1">
      <c r="A18" s="24">
        <v>13</v>
      </c>
      <c r="B18" s="84" t="s">
        <v>27</v>
      </c>
      <c r="C18" s="35">
        <v>1</v>
      </c>
      <c r="D18" s="36" t="s">
        <v>260</v>
      </c>
      <c r="E18" s="36" t="s">
        <v>29</v>
      </c>
      <c r="F18" s="36" t="s">
        <v>164</v>
      </c>
      <c r="G18" s="72"/>
      <c r="H18" s="71" t="s">
        <v>288</v>
      </c>
      <c r="I18" s="72" t="s">
        <v>293</v>
      </c>
      <c r="J18" s="74">
        <v>3.5</v>
      </c>
      <c r="K18" s="74">
        <f>Table1467[[#This Row],[Unit Cost]]*Table1467[[#This Row],[Quantity]]</f>
        <v>3.5</v>
      </c>
      <c r="L18" s="112">
        <v>0</v>
      </c>
      <c r="M18" s="74">
        <f>Table1467[[#This Row],[Quantity]]*AB18-Table1467[[#This Row],[STOCK]]</f>
        <v>1000</v>
      </c>
      <c r="N18" s="74">
        <f>Table1467[[#This Row],[Quantity]]*AB18-Table1467[[#This Row],[STOCK]]</f>
        <v>1000</v>
      </c>
      <c r="O18" s="74">
        <f>IF(Table1467[[#This Row],[Interim Value]]&lt;0,0,Table1467[[#This Row],[Interim Value]])</f>
        <v>1000</v>
      </c>
      <c r="P18" s="105">
        <f>Table1467[[#This Row],[Kitting Quantity]]*Table1467[[#This Row],[Total]]</f>
        <v>3500</v>
      </c>
      <c r="Q18" s="11" t="s">
        <v>292</v>
      </c>
      <c r="R18" s="11" t="s">
        <v>370</v>
      </c>
      <c r="AB18">
        <f>P1</f>
        <v>1000</v>
      </c>
    </row>
    <row r="19" spans="1:28" s="1" customFormat="1">
      <c r="A19" s="24">
        <v>14</v>
      </c>
      <c r="B19" s="84" t="s">
        <v>205</v>
      </c>
      <c r="C19" s="35">
        <v>1</v>
      </c>
      <c r="D19" s="36" t="s">
        <v>110</v>
      </c>
      <c r="E19" s="71" t="s">
        <v>295</v>
      </c>
      <c r="F19" s="36" t="s">
        <v>167</v>
      </c>
      <c r="G19" s="72"/>
      <c r="H19" s="36" t="s">
        <v>289</v>
      </c>
      <c r="I19" s="78" t="s">
        <v>293</v>
      </c>
      <c r="J19" s="74">
        <v>2.5</v>
      </c>
      <c r="K19" s="74">
        <f>Table1467[[#This Row],[Unit Cost]]*Table1467[[#This Row],[Quantity]]</f>
        <v>2.5</v>
      </c>
      <c r="L19" s="112">
        <v>0</v>
      </c>
      <c r="M19" s="74">
        <f>Table1467[[#This Row],[Quantity]]*AB19-Table1467[[#This Row],[STOCK]]</f>
        <v>1000</v>
      </c>
      <c r="N19" s="74">
        <f>Table1467[[#This Row],[Quantity]]*AB19-Table1467[[#This Row],[STOCK]]</f>
        <v>1000</v>
      </c>
      <c r="O19" s="74">
        <f>IF(Table1467[[#This Row],[Interim Value]]&lt;0,0,Table1467[[#This Row],[Interim Value]])</f>
        <v>1000</v>
      </c>
      <c r="P19" s="105">
        <f>Table1467[[#This Row],[Kitting Quantity]]*Table1467[[#This Row],[Total]]</f>
        <v>2500</v>
      </c>
      <c r="Q19" s="11" t="s">
        <v>382</v>
      </c>
      <c r="R19" s="11" t="s">
        <v>370</v>
      </c>
      <c r="AB19">
        <f>P1</f>
        <v>1000</v>
      </c>
    </row>
    <row r="20" spans="1:28" s="1" customFormat="1">
      <c r="A20" s="24">
        <v>15</v>
      </c>
      <c r="B20" s="72" t="s">
        <v>324</v>
      </c>
      <c r="C20" s="35">
        <v>2</v>
      </c>
      <c r="D20" s="36" t="s">
        <v>261</v>
      </c>
      <c r="E20" s="36" t="s">
        <v>245</v>
      </c>
      <c r="F20" s="36" t="s">
        <v>275</v>
      </c>
      <c r="G20" s="77">
        <v>0.05</v>
      </c>
      <c r="H20" s="72" t="s">
        <v>230</v>
      </c>
      <c r="I20" s="72" t="s">
        <v>172</v>
      </c>
      <c r="J20" s="74">
        <v>5</v>
      </c>
      <c r="K20" s="74">
        <f>Table1467[[#This Row],[Unit Cost]]*Table1467[[#This Row],[Quantity]]</f>
        <v>10</v>
      </c>
      <c r="L20" s="112">
        <v>0</v>
      </c>
      <c r="M20" s="74">
        <f>Table1467[[#This Row],[Quantity]]*AB20-Table1467[[#This Row],[STOCK]]</f>
        <v>2000</v>
      </c>
      <c r="N20" s="74">
        <f>Table1467[[#This Row],[Quantity]]*AB20-Table1467[[#This Row],[STOCK]]</f>
        <v>2000</v>
      </c>
      <c r="O20" s="74">
        <f>IF(Table1467[[#This Row],[Interim Value]]&lt;0,0,Table1467[[#This Row],[Interim Value]])</f>
        <v>2000</v>
      </c>
      <c r="P20" s="105">
        <f>Table1467[[#This Row],[Kitting Quantity]]*Table1467[[#This Row],[Total]]</f>
        <v>20000</v>
      </c>
      <c r="Q20" s="11" t="s">
        <v>385</v>
      </c>
      <c r="R20" s="11" t="s">
        <v>386</v>
      </c>
      <c r="AB20">
        <f>P1</f>
        <v>1000</v>
      </c>
    </row>
    <row r="21" spans="1:28" s="1" customFormat="1">
      <c r="A21" s="24">
        <v>16</v>
      </c>
      <c r="B21" s="84" t="s">
        <v>42</v>
      </c>
      <c r="C21" s="35">
        <v>1</v>
      </c>
      <c r="D21" s="36" t="s">
        <v>43</v>
      </c>
      <c r="E21" s="36" t="s">
        <v>246</v>
      </c>
      <c r="F21" s="36" t="s">
        <v>276</v>
      </c>
      <c r="G21" s="72"/>
      <c r="H21" s="36" t="s">
        <v>290</v>
      </c>
      <c r="I21" s="72" t="s">
        <v>293</v>
      </c>
      <c r="J21" s="74">
        <v>11.9</v>
      </c>
      <c r="K21" s="74">
        <f>Table1467[[#This Row],[Unit Cost]]*Table1467[[#This Row],[Quantity]]</f>
        <v>11.9</v>
      </c>
      <c r="L21" s="112">
        <v>0</v>
      </c>
      <c r="M21" s="74">
        <f>Table1467[[#This Row],[Quantity]]*AB21-Table1467[[#This Row],[STOCK]]</f>
        <v>1000</v>
      </c>
      <c r="N21" s="74">
        <f>Table1467[[#This Row],[Quantity]]*AB21-Table1467[[#This Row],[STOCK]]</f>
        <v>1000</v>
      </c>
      <c r="O21" s="74">
        <f>IF(Table1467[[#This Row],[Interim Value]]&lt;0,0,Table1467[[#This Row],[Interim Value]])</f>
        <v>1000</v>
      </c>
      <c r="P21" s="105">
        <f>Table1467[[#This Row],[Kitting Quantity]]*Table1467[[#This Row],[Total]]</f>
        <v>11900</v>
      </c>
      <c r="Q21" s="11" t="s">
        <v>382</v>
      </c>
      <c r="R21" s="11" t="s">
        <v>370</v>
      </c>
      <c r="AB21">
        <f>P1</f>
        <v>1000</v>
      </c>
    </row>
    <row r="22" spans="1:28" s="1" customFormat="1">
      <c r="A22" s="24">
        <v>17</v>
      </c>
      <c r="B22" s="72" t="s">
        <v>325</v>
      </c>
      <c r="C22" s="35">
        <v>2</v>
      </c>
      <c r="D22" s="36" t="s">
        <v>262</v>
      </c>
      <c r="E22" s="36" t="s">
        <v>374</v>
      </c>
      <c r="F22" s="36" t="s">
        <v>277</v>
      </c>
      <c r="G22" s="77"/>
      <c r="H22" s="36" t="s">
        <v>228</v>
      </c>
      <c r="I22" s="72" t="s">
        <v>292</v>
      </c>
      <c r="J22" s="74">
        <v>0.21</v>
      </c>
      <c r="K22" s="74">
        <f>Table1467[[#This Row],[Unit Cost]]*Table1467[[#This Row],[Quantity]]</f>
        <v>0.42</v>
      </c>
      <c r="L22" s="112">
        <v>0</v>
      </c>
      <c r="M22" s="74">
        <f>Table1467[[#This Row],[Quantity]]*AB22-Table1467[[#This Row],[STOCK]]</f>
        <v>2000</v>
      </c>
      <c r="N22" s="74">
        <f>Table1467[[#This Row],[Quantity]]*AB22-Table1467[[#This Row],[STOCK]]</f>
        <v>2000</v>
      </c>
      <c r="O22" s="74">
        <f>IF(Table1467[[#This Row],[Interim Value]]&lt;0,0,Table1467[[#This Row],[Interim Value]])</f>
        <v>2000</v>
      </c>
      <c r="P22" s="105">
        <f>Table1467[[#This Row],[Kitting Quantity]]*Table1467[[#This Row],[Total]]</f>
        <v>840</v>
      </c>
      <c r="Q22" s="11" t="s">
        <v>364</v>
      </c>
      <c r="R22" s="11" t="s">
        <v>384</v>
      </c>
      <c r="AB22">
        <f>P1</f>
        <v>1000</v>
      </c>
    </row>
    <row r="23" spans="1:28" s="1" customFormat="1">
      <c r="A23" s="24">
        <v>18</v>
      </c>
      <c r="B23" s="72" t="s">
        <v>223</v>
      </c>
      <c r="C23" s="35">
        <v>1</v>
      </c>
      <c r="D23" s="36" t="s">
        <v>62</v>
      </c>
      <c r="E23" s="36" t="s">
        <v>66</v>
      </c>
      <c r="F23" s="36" t="s">
        <v>53</v>
      </c>
      <c r="G23" s="77">
        <v>0.05</v>
      </c>
      <c r="H23" s="36" t="s">
        <v>228</v>
      </c>
      <c r="I23" s="72" t="s">
        <v>292</v>
      </c>
      <c r="J23" s="74">
        <v>0.08</v>
      </c>
      <c r="K23" s="74">
        <f>Table1467[[#This Row],[Unit Cost]]*Table1467[[#This Row],[Quantity]]</f>
        <v>0.08</v>
      </c>
      <c r="L23" s="112">
        <v>0</v>
      </c>
      <c r="M23" s="74">
        <f>Table1467[[#This Row],[Quantity]]*AB23-Table1467[[#This Row],[STOCK]]</f>
        <v>1000</v>
      </c>
      <c r="N23" s="74">
        <f>Table1467[[#This Row],[Quantity]]*AB23-Table1467[[#This Row],[STOCK]]</f>
        <v>1000</v>
      </c>
      <c r="O23" s="74">
        <f>IF(Table1467[[#This Row],[Interim Value]]&lt;0,0,Table1467[[#This Row],[Interim Value]])</f>
        <v>1000</v>
      </c>
      <c r="P23" s="105">
        <f>Table1467[[#This Row],[Kitting Quantity]]*Table1467[[#This Row],[Total]]</f>
        <v>80</v>
      </c>
      <c r="Q23" s="11" t="s">
        <v>292</v>
      </c>
      <c r="R23" s="11" t="s">
        <v>370</v>
      </c>
      <c r="AB23">
        <f>P1</f>
        <v>1000</v>
      </c>
    </row>
    <row r="24" spans="1:28" s="1" customFormat="1">
      <c r="A24" s="24">
        <v>19</v>
      </c>
      <c r="B24" s="72" t="s">
        <v>326</v>
      </c>
      <c r="C24" s="35">
        <v>1</v>
      </c>
      <c r="D24" s="36" t="s">
        <v>79</v>
      </c>
      <c r="E24" s="36" t="s">
        <v>247</v>
      </c>
      <c r="F24" s="36" t="s">
        <v>278</v>
      </c>
      <c r="G24" s="77">
        <v>0.05</v>
      </c>
      <c r="H24" s="36" t="s">
        <v>228</v>
      </c>
      <c r="I24" s="72" t="s">
        <v>292</v>
      </c>
      <c r="J24" s="74">
        <v>0.3</v>
      </c>
      <c r="K24" s="74">
        <f>Table1467[[#This Row],[Unit Cost]]*Table1467[[#This Row],[Quantity]]</f>
        <v>0.3</v>
      </c>
      <c r="L24" s="112">
        <v>0</v>
      </c>
      <c r="M24" s="74">
        <f>Table1467[[#This Row],[Quantity]]*AB24-Table1467[[#This Row],[STOCK]]</f>
        <v>1000</v>
      </c>
      <c r="N24" s="74">
        <f>Table1467[[#This Row],[Quantity]]*AB24-Table1467[[#This Row],[STOCK]]</f>
        <v>1000</v>
      </c>
      <c r="O24" s="74">
        <f>IF(Table1467[[#This Row],[Interim Value]]&lt;0,0,Table1467[[#This Row],[Interim Value]])</f>
        <v>1000</v>
      </c>
      <c r="P24" s="105">
        <f>Table1467[[#This Row],[Kitting Quantity]]*Table1467[[#This Row],[Total]]</f>
        <v>300</v>
      </c>
      <c r="Q24" s="11" t="s">
        <v>364</v>
      </c>
      <c r="R24" s="11" t="s">
        <v>384</v>
      </c>
      <c r="AB24">
        <f>P1</f>
        <v>1000</v>
      </c>
    </row>
    <row r="25" spans="1:28" s="1" customFormat="1">
      <c r="A25" s="24">
        <v>20</v>
      </c>
      <c r="B25" s="72" t="s">
        <v>327</v>
      </c>
      <c r="C25" s="35">
        <v>1</v>
      </c>
      <c r="D25" s="36" t="s">
        <v>59</v>
      </c>
      <c r="E25" s="36" t="s">
        <v>248</v>
      </c>
      <c r="F25" s="36" t="s">
        <v>53</v>
      </c>
      <c r="G25" s="77">
        <v>0.05</v>
      </c>
      <c r="H25" s="36" t="s">
        <v>228</v>
      </c>
      <c r="I25" s="72" t="s">
        <v>292</v>
      </c>
      <c r="J25" s="74">
        <v>0.08</v>
      </c>
      <c r="K25" s="74">
        <f>Table1467[[#This Row],[Unit Cost]]*Table1467[[#This Row],[Quantity]]</f>
        <v>0.08</v>
      </c>
      <c r="L25" s="112">
        <v>0</v>
      </c>
      <c r="M25" s="74">
        <f>Table1467[[#This Row],[Quantity]]*AB25-Table1467[[#This Row],[STOCK]]</f>
        <v>1000</v>
      </c>
      <c r="N25" s="74">
        <f>Table1467[[#This Row],[Quantity]]*AB25-Table1467[[#This Row],[STOCK]]</f>
        <v>1000</v>
      </c>
      <c r="O25" s="74">
        <f>IF(Table1467[[#This Row],[Interim Value]]&lt;0,0,Table1467[[#This Row],[Interim Value]])</f>
        <v>1000</v>
      </c>
      <c r="P25" s="105">
        <f>Table1467[[#This Row],[Kitting Quantity]]*Table1467[[#This Row],[Total]]</f>
        <v>80</v>
      </c>
      <c r="Q25" s="11" t="s">
        <v>292</v>
      </c>
      <c r="R25" s="11" t="s">
        <v>370</v>
      </c>
      <c r="AB25">
        <f>P1</f>
        <v>1000</v>
      </c>
    </row>
    <row r="26" spans="1:28" s="1" customFormat="1">
      <c r="A26" s="24">
        <v>21</v>
      </c>
      <c r="B26" s="72" t="s">
        <v>328</v>
      </c>
      <c r="C26" s="35">
        <v>1</v>
      </c>
      <c r="D26" s="36" t="s">
        <v>70</v>
      </c>
      <c r="E26" s="81" t="s">
        <v>299</v>
      </c>
      <c r="F26" s="36" t="s">
        <v>53</v>
      </c>
      <c r="G26" s="77">
        <v>0.01</v>
      </c>
      <c r="H26" s="36" t="s">
        <v>228</v>
      </c>
      <c r="I26" s="72" t="s">
        <v>292</v>
      </c>
      <c r="J26" s="74">
        <v>0.08</v>
      </c>
      <c r="K26" s="74">
        <f>Table1467[[#This Row],[Unit Cost]]*Table1467[[#This Row],[Quantity]]</f>
        <v>0.08</v>
      </c>
      <c r="L26" s="112">
        <v>5000</v>
      </c>
      <c r="M26" s="74">
        <f>Table1467[[#This Row],[Quantity]]*AB26-Table1467[[#This Row],[STOCK]]</f>
        <v>-4000</v>
      </c>
      <c r="N26" s="74">
        <f>Table1467[[#This Row],[Quantity]]*AB26-Table1467[[#This Row],[STOCK]]</f>
        <v>-4000</v>
      </c>
      <c r="O26" s="74">
        <f>IF(Table1467[[#This Row],[Interim Value]]&lt;0,0,Table1467[[#This Row],[Interim Value]])</f>
        <v>0</v>
      </c>
      <c r="P26" s="105">
        <f>Table1467[[#This Row],[Kitting Quantity]]*Table1467[[#This Row],[Total]]</f>
        <v>0</v>
      </c>
      <c r="Q26" s="11" t="s">
        <v>292</v>
      </c>
      <c r="R26" s="11" t="s">
        <v>370</v>
      </c>
      <c r="AB26">
        <f>P1</f>
        <v>1000</v>
      </c>
    </row>
    <row r="27" spans="1:28" s="1" customFormat="1">
      <c r="A27" s="24">
        <v>22</v>
      </c>
      <c r="B27" s="72" t="s">
        <v>329</v>
      </c>
      <c r="C27" s="35">
        <v>1</v>
      </c>
      <c r="D27" s="36" t="s">
        <v>73</v>
      </c>
      <c r="E27" s="81" t="s">
        <v>300</v>
      </c>
      <c r="F27" s="36" t="s">
        <v>53</v>
      </c>
      <c r="G27" s="77">
        <v>0.01</v>
      </c>
      <c r="H27" s="36" t="s">
        <v>228</v>
      </c>
      <c r="I27" s="72" t="s">
        <v>292</v>
      </c>
      <c r="J27" s="74">
        <v>0.1</v>
      </c>
      <c r="K27" s="74">
        <f>Table1467[[#This Row],[Unit Cost]]*Table1467[[#This Row],[Quantity]]</f>
        <v>0.1</v>
      </c>
      <c r="L27" s="112">
        <v>5000</v>
      </c>
      <c r="M27" s="74">
        <f>Table1467[[#This Row],[Quantity]]*AB27-Table1467[[#This Row],[STOCK]]</f>
        <v>-4000</v>
      </c>
      <c r="N27" s="74">
        <f>Table1467[[#This Row],[Quantity]]*AB27-Table1467[[#This Row],[STOCK]]</f>
        <v>-4000</v>
      </c>
      <c r="O27" s="74">
        <f>IF(Table1467[[#This Row],[Interim Value]]&lt;0,0,Table1467[[#This Row],[Interim Value]])</f>
        <v>0</v>
      </c>
      <c r="P27" s="105">
        <f>Table1467[[#This Row],[Kitting Quantity]]*Table1467[[#This Row],[Total]]</f>
        <v>0</v>
      </c>
      <c r="Q27" s="11" t="s">
        <v>292</v>
      </c>
      <c r="R27" s="11" t="s">
        <v>370</v>
      </c>
      <c r="AB27">
        <f>P1</f>
        <v>1000</v>
      </c>
    </row>
    <row r="28" spans="1:28" s="1" customFormat="1">
      <c r="A28" s="24">
        <v>23</v>
      </c>
      <c r="B28" s="72" t="s">
        <v>330</v>
      </c>
      <c r="C28" s="35">
        <v>1</v>
      </c>
      <c r="D28" s="36" t="s">
        <v>182</v>
      </c>
      <c r="E28" s="81" t="s">
        <v>301</v>
      </c>
      <c r="F28" s="36" t="s">
        <v>53</v>
      </c>
      <c r="G28" s="77">
        <v>0.01</v>
      </c>
      <c r="H28" s="36" t="s">
        <v>228</v>
      </c>
      <c r="I28" s="72" t="s">
        <v>292</v>
      </c>
      <c r="J28" s="74">
        <v>0.1</v>
      </c>
      <c r="K28" s="74">
        <f>Table1467[[#This Row],[Unit Cost]]*Table1467[[#This Row],[Quantity]]</f>
        <v>0.1</v>
      </c>
      <c r="L28" s="112">
        <v>0</v>
      </c>
      <c r="M28" s="74">
        <f>Table1467[[#This Row],[Quantity]]*AB28-Table1467[[#This Row],[STOCK]]</f>
        <v>1000</v>
      </c>
      <c r="N28" s="74">
        <f>Table1467[[#This Row],[Quantity]]*AB28-Table1467[[#This Row],[STOCK]]</f>
        <v>1000</v>
      </c>
      <c r="O28" s="74">
        <f>IF(Table1467[[#This Row],[Interim Value]]&lt;0,0,Table1467[[#This Row],[Interim Value]])</f>
        <v>1000</v>
      </c>
      <c r="P28" s="105">
        <f>Table1467[[#This Row],[Kitting Quantity]]*Table1467[[#This Row],[Total]]</f>
        <v>100</v>
      </c>
      <c r="Q28" s="11" t="s">
        <v>292</v>
      </c>
      <c r="R28" s="11" t="s">
        <v>370</v>
      </c>
      <c r="AB28">
        <f>P1</f>
        <v>1000</v>
      </c>
    </row>
    <row r="29" spans="1:28" s="1" customFormat="1">
      <c r="A29" s="24">
        <v>24</v>
      </c>
      <c r="B29" s="72" t="s">
        <v>331</v>
      </c>
      <c r="C29" s="35">
        <v>1</v>
      </c>
      <c r="D29" s="36" t="s">
        <v>55</v>
      </c>
      <c r="E29" s="36" t="s">
        <v>76</v>
      </c>
      <c r="F29" s="36" t="s">
        <v>53</v>
      </c>
      <c r="G29" s="77">
        <v>0.05</v>
      </c>
      <c r="H29" s="36" t="s">
        <v>228</v>
      </c>
      <c r="I29" s="72" t="s">
        <v>292</v>
      </c>
      <c r="J29" s="74">
        <v>0.08</v>
      </c>
      <c r="K29" s="74">
        <f>Table1467[[#This Row],[Unit Cost]]*Table1467[[#This Row],[Quantity]]</f>
        <v>0.08</v>
      </c>
      <c r="L29" s="112">
        <v>0</v>
      </c>
      <c r="M29" s="74">
        <f>Table1467[[#This Row],[Quantity]]*AB29-Table1467[[#This Row],[STOCK]]</f>
        <v>1000</v>
      </c>
      <c r="N29" s="74">
        <f>Table1467[[#This Row],[Quantity]]*AB29-Table1467[[#This Row],[STOCK]]</f>
        <v>1000</v>
      </c>
      <c r="O29" s="74">
        <f>IF(Table1467[[#This Row],[Interim Value]]&lt;0,0,Table1467[[#This Row],[Interim Value]])</f>
        <v>1000</v>
      </c>
      <c r="P29" s="105">
        <f>Table1467[[#This Row],[Kitting Quantity]]*Table1467[[#This Row],[Total]]</f>
        <v>80</v>
      </c>
      <c r="Q29" s="11" t="s">
        <v>292</v>
      </c>
      <c r="R29" s="11" t="s">
        <v>370</v>
      </c>
      <c r="AB29">
        <f>P1</f>
        <v>1000</v>
      </c>
    </row>
    <row r="30" spans="1:28" s="1" customFormat="1">
      <c r="A30" s="24">
        <v>25</v>
      </c>
      <c r="B30" s="72" t="s">
        <v>192</v>
      </c>
      <c r="C30" s="35">
        <v>1</v>
      </c>
      <c r="D30" s="36" t="s">
        <v>65</v>
      </c>
      <c r="E30" s="36" t="s">
        <v>124</v>
      </c>
      <c r="F30" s="36" t="s">
        <v>53</v>
      </c>
      <c r="G30" s="77">
        <v>0.01</v>
      </c>
      <c r="H30" s="36" t="s">
        <v>228</v>
      </c>
      <c r="I30" s="72" t="s">
        <v>292</v>
      </c>
      <c r="J30" s="74">
        <v>0.14000000000000001</v>
      </c>
      <c r="K30" s="74">
        <f>Table1467[[#This Row],[Unit Cost]]*Table1467[[#This Row],[Quantity]]</f>
        <v>0.14000000000000001</v>
      </c>
      <c r="L30" s="112">
        <v>5000</v>
      </c>
      <c r="M30" s="74">
        <f>Table1467[[#This Row],[Quantity]]*AB30-Table1467[[#This Row],[STOCK]]</f>
        <v>-4000</v>
      </c>
      <c r="N30" s="74">
        <f>Table1467[[#This Row],[Quantity]]*AB30-Table1467[[#This Row],[STOCK]]</f>
        <v>-4000</v>
      </c>
      <c r="O30" s="74">
        <f>IF(Table1467[[#This Row],[Interim Value]]&lt;0,0,Table1467[[#This Row],[Interim Value]])</f>
        <v>0</v>
      </c>
      <c r="P30" s="105">
        <f>Table1467[[#This Row],[Kitting Quantity]]*Table1467[[#This Row],[Total]]</f>
        <v>0</v>
      </c>
      <c r="Q30" s="11" t="s">
        <v>292</v>
      </c>
      <c r="R30" s="11" t="s">
        <v>370</v>
      </c>
      <c r="AB30">
        <f>P1</f>
        <v>1000</v>
      </c>
    </row>
    <row r="31" spans="1:28" s="1" customFormat="1">
      <c r="A31" s="24">
        <v>26</v>
      </c>
      <c r="B31" s="72" t="s">
        <v>192</v>
      </c>
      <c r="C31" s="35">
        <v>1</v>
      </c>
      <c r="D31" s="36" t="s">
        <v>263</v>
      </c>
      <c r="E31" s="36" t="s">
        <v>124</v>
      </c>
      <c r="F31" s="36" t="s">
        <v>53</v>
      </c>
      <c r="G31" s="77">
        <v>0.01</v>
      </c>
      <c r="H31" s="36" t="s">
        <v>228</v>
      </c>
      <c r="I31" s="72" t="s">
        <v>292</v>
      </c>
      <c r="J31" s="74">
        <v>0.14000000000000001</v>
      </c>
      <c r="K31" s="74">
        <f>Table1467[[#This Row],[Unit Cost]]*Table1467[[#This Row],[Quantity]]</f>
        <v>0.14000000000000001</v>
      </c>
      <c r="L31" s="112">
        <v>0</v>
      </c>
      <c r="M31" s="74">
        <f>Table1467[[#This Row],[Quantity]]*AB31-Table1467[[#This Row],[STOCK]]</f>
        <v>1000</v>
      </c>
      <c r="N31" s="74">
        <f>Table1467[[#This Row],[Quantity]]*AB31-Table1467[[#This Row],[STOCK]]</f>
        <v>1000</v>
      </c>
      <c r="O31" s="74">
        <f>IF(Table1467[[#This Row],[Interim Value]]&lt;0,0,Table1467[[#This Row],[Interim Value]])</f>
        <v>1000</v>
      </c>
      <c r="P31" s="105">
        <f>Table1467[[#This Row],[Kitting Quantity]]*Table1467[[#This Row],[Total]]</f>
        <v>140</v>
      </c>
      <c r="Q31" s="11" t="s">
        <v>292</v>
      </c>
      <c r="R31" s="11" t="s">
        <v>370</v>
      </c>
      <c r="AB31">
        <f>P1</f>
        <v>1000</v>
      </c>
    </row>
    <row r="32" spans="1:28" s="1" customFormat="1">
      <c r="A32" s="24">
        <v>27</v>
      </c>
      <c r="B32" s="35"/>
      <c r="C32" s="35">
        <v>1</v>
      </c>
      <c r="D32" s="36" t="s">
        <v>68</v>
      </c>
      <c r="E32" s="36" t="s">
        <v>98</v>
      </c>
      <c r="F32" s="36" t="s">
        <v>53</v>
      </c>
      <c r="G32" s="77">
        <v>0.01</v>
      </c>
      <c r="H32" s="36" t="s">
        <v>228</v>
      </c>
      <c r="I32" s="72"/>
      <c r="J32" s="74"/>
      <c r="K32" s="74">
        <f>Table1467[[#This Row],[Unit Cost]]*Table1467[[#This Row],[Quantity]]</f>
        <v>0</v>
      </c>
      <c r="L32" s="112">
        <v>0</v>
      </c>
      <c r="M32" s="74">
        <f>Table1467[[#This Row],[Quantity]]*AB32-Table1467[[#This Row],[STOCK]]</f>
        <v>1000</v>
      </c>
      <c r="N32" s="74">
        <f>Table1467[[#This Row],[Quantity]]*AB32-Table1467[[#This Row],[STOCK]]</f>
        <v>1000</v>
      </c>
      <c r="O32" s="74">
        <f>IF(Table1467[[#This Row],[Interim Value]]&lt;0,0,Table1467[[#This Row],[Interim Value]])</f>
        <v>1000</v>
      </c>
      <c r="P32" s="105">
        <f>Table1467[[#This Row],[Kitting Quantity]]*Table1467[[#This Row],[Total]]</f>
        <v>0</v>
      </c>
      <c r="Q32" s="11" t="s">
        <v>292</v>
      </c>
      <c r="R32" s="11" t="s">
        <v>370</v>
      </c>
      <c r="AB32">
        <f>P1</f>
        <v>1000</v>
      </c>
    </row>
    <row r="33" spans="1:28" s="1" customFormat="1">
      <c r="A33" s="24">
        <v>28</v>
      </c>
      <c r="B33" s="72" t="s">
        <v>332</v>
      </c>
      <c r="C33" s="35">
        <v>1</v>
      </c>
      <c r="D33" s="36" t="s">
        <v>264</v>
      </c>
      <c r="E33" s="36" t="s">
        <v>251</v>
      </c>
      <c r="F33" s="36" t="s">
        <v>302</v>
      </c>
      <c r="G33" s="77">
        <v>0.05</v>
      </c>
      <c r="H33" s="36" t="s">
        <v>291</v>
      </c>
      <c r="I33" s="72" t="s">
        <v>172</v>
      </c>
      <c r="J33" s="74">
        <v>16</v>
      </c>
      <c r="K33" s="74">
        <f>Table1467[[#This Row],[Unit Cost]]*Table1467[[#This Row],[Quantity]]</f>
        <v>16</v>
      </c>
      <c r="L33" s="112">
        <v>0</v>
      </c>
      <c r="M33" s="74">
        <f>Table1467[[#This Row],[Quantity]]*AB33-Table1467[[#This Row],[STOCK]]</f>
        <v>1000</v>
      </c>
      <c r="N33" s="74">
        <f>Table1467[[#This Row],[Quantity]]*AB33-Table1467[[#This Row],[STOCK]]</f>
        <v>1000</v>
      </c>
      <c r="O33" s="74">
        <f>IF(Table1467[[#This Row],[Interim Value]]&lt;0,0,Table1467[[#This Row],[Interim Value]])</f>
        <v>1000</v>
      </c>
      <c r="P33" s="105">
        <f>Table1467[[#This Row],[Kitting Quantity]]*Table1467[[#This Row],[Total]]</f>
        <v>16000</v>
      </c>
      <c r="Q33" s="11" t="s">
        <v>172</v>
      </c>
      <c r="R33" s="11" t="s">
        <v>366</v>
      </c>
      <c r="AB33">
        <f>P1</f>
        <v>1000</v>
      </c>
    </row>
    <row r="34" spans="1:28" s="1" customFormat="1">
      <c r="A34" s="24">
        <v>29</v>
      </c>
      <c r="B34" s="11" t="s">
        <v>333</v>
      </c>
      <c r="C34" s="35">
        <v>1</v>
      </c>
      <c r="D34" s="36" t="s">
        <v>84</v>
      </c>
      <c r="E34" s="36" t="s">
        <v>252</v>
      </c>
      <c r="F34" s="36" t="s">
        <v>280</v>
      </c>
      <c r="G34" s="6"/>
      <c r="H34" s="4" t="s">
        <v>230</v>
      </c>
      <c r="I34" s="6" t="s">
        <v>185</v>
      </c>
      <c r="J34" s="74">
        <v>20</v>
      </c>
      <c r="K34" s="74">
        <f>Table1467[[#This Row],[Unit Cost]]*Table1467[[#This Row],[Quantity]]</f>
        <v>20</v>
      </c>
      <c r="L34" s="112">
        <v>0</v>
      </c>
      <c r="M34" s="74">
        <f>Table1467[[#This Row],[Quantity]]*AB34-Table1467[[#This Row],[STOCK]]</f>
        <v>1000</v>
      </c>
      <c r="N34" s="74">
        <f>Table1467[[#This Row],[Quantity]]*AB34-Table1467[[#This Row],[STOCK]]</f>
        <v>1000</v>
      </c>
      <c r="O34" s="74">
        <f>IF(Table1467[[#This Row],[Interim Value]]&lt;0,0,Table1467[[#This Row],[Interim Value]])</f>
        <v>1000</v>
      </c>
      <c r="P34" s="105">
        <f>Table1467[[#This Row],[Kitting Quantity]]*Table1467[[#This Row],[Total]]</f>
        <v>20000</v>
      </c>
      <c r="Q34" s="11" t="s">
        <v>185</v>
      </c>
      <c r="R34" s="11" t="s">
        <v>367</v>
      </c>
      <c r="AB34">
        <f>P1</f>
        <v>1000</v>
      </c>
    </row>
    <row r="35" spans="1:28" s="1" customFormat="1">
      <c r="A35" s="24">
        <v>30</v>
      </c>
      <c r="B35" s="72" t="s">
        <v>334</v>
      </c>
      <c r="C35" s="72">
        <v>1</v>
      </c>
      <c r="D35" s="72"/>
      <c r="E35" s="72" t="s">
        <v>253</v>
      </c>
      <c r="F35" s="72" t="s">
        <v>281</v>
      </c>
      <c r="G35" s="6"/>
      <c r="H35" s="6"/>
      <c r="I35" s="6" t="s">
        <v>234</v>
      </c>
      <c r="J35" s="74">
        <v>8.4</v>
      </c>
      <c r="K35" s="74">
        <f>Table1467[[#This Row],[Unit Cost]]*Table1467[[#This Row],[Quantity]]</f>
        <v>8.4</v>
      </c>
      <c r="L35" s="112">
        <v>0</v>
      </c>
      <c r="M35" s="74">
        <f>Table1467[[#This Row],[Quantity]]*AB35-Table1467[[#This Row],[STOCK]]</f>
        <v>1000</v>
      </c>
      <c r="N35" s="74">
        <f>Table1467[[#This Row],[Quantity]]*AB35-Table1467[[#This Row],[STOCK]]</f>
        <v>1000</v>
      </c>
      <c r="O35" s="74">
        <f>IF(Table1467[[#This Row],[Interim Value]]&lt;0,0,Table1467[[#This Row],[Interim Value]])</f>
        <v>1000</v>
      </c>
      <c r="P35" s="105">
        <f>Table1467[[#This Row],[Kitting Quantity]]*Table1467[[#This Row],[Total]]</f>
        <v>8400</v>
      </c>
      <c r="Q35" s="11" t="s">
        <v>188</v>
      </c>
      <c r="R35" s="11" t="s">
        <v>370</v>
      </c>
      <c r="AB35">
        <f>P1</f>
        <v>1000</v>
      </c>
    </row>
    <row r="36" spans="1:28" s="1" customFormat="1">
      <c r="A36" s="24">
        <v>31</v>
      </c>
      <c r="B36" s="84" t="s">
        <v>335</v>
      </c>
      <c r="C36" s="3">
        <v>1</v>
      </c>
      <c r="D36" s="4" t="s">
        <v>254</v>
      </c>
      <c r="E36" s="4" t="s">
        <v>254</v>
      </c>
      <c r="F36" s="6"/>
      <c r="G36" s="6"/>
      <c r="H36" s="6"/>
      <c r="I36" s="6" t="s">
        <v>294</v>
      </c>
      <c r="J36" s="74">
        <v>2.75</v>
      </c>
      <c r="K36" s="74">
        <f>Table1467[[#This Row],[Unit Cost]]*Table1467[[#This Row],[Quantity]]</f>
        <v>2.75</v>
      </c>
      <c r="L36" s="112">
        <v>0</v>
      </c>
      <c r="M36" s="74">
        <f>Table1467[[#This Row],[Quantity]]*AB36-Table1467[[#This Row],[STOCK]]</f>
        <v>1000</v>
      </c>
      <c r="N36" s="74">
        <f>Table1467[[#This Row],[Quantity]]*AB36-Table1467[[#This Row],[STOCK]]</f>
        <v>1000</v>
      </c>
      <c r="O36" s="74">
        <f>IF(Table1467[[#This Row],[Interim Value]]&lt;0,0,Table1467[[#This Row],[Interim Value]])</f>
        <v>1000</v>
      </c>
      <c r="P36" s="105">
        <f>Table1467[[#This Row],[Kitting Quantity]]*Table1467[[#This Row],[Total]]</f>
        <v>2750</v>
      </c>
      <c r="Q36" s="11" t="s">
        <v>387</v>
      </c>
      <c r="R36" s="11" t="s">
        <v>370</v>
      </c>
      <c r="AB36">
        <f>P1</f>
        <v>1000</v>
      </c>
    </row>
    <row r="37" spans="1:28" s="1" customFormat="1">
      <c r="A37" s="24">
        <v>33</v>
      </c>
      <c r="B37" s="72" t="s">
        <v>353</v>
      </c>
      <c r="C37" s="40">
        <v>1</v>
      </c>
      <c r="D37" s="41"/>
      <c r="E37" s="83" t="s">
        <v>296</v>
      </c>
      <c r="F37" s="39" t="s">
        <v>297</v>
      </c>
      <c r="G37" s="39"/>
      <c r="H37" s="39"/>
      <c r="I37" s="39"/>
      <c r="J37" s="82">
        <v>1</v>
      </c>
      <c r="K37" s="82">
        <f>Table1467[[#This Row],[Unit Cost]]*Table1467[[#This Row],[Quantity]]</f>
        <v>1</v>
      </c>
      <c r="L37" s="329">
        <v>0</v>
      </c>
      <c r="M37" s="82">
        <f>Table1467[[#This Row],[Quantity]]*AB37-Table1467[[#This Row],[STOCK]]</f>
        <v>1000</v>
      </c>
      <c r="N37" s="82">
        <f>Table1467[[#This Row],[Quantity]]*AB37-Table1467[[#This Row],[STOCK]]</f>
        <v>1000</v>
      </c>
      <c r="O37" s="82">
        <f>IF(Table1467[[#This Row],[Interim Value]]&lt;0,0,Table1467[[#This Row],[Interim Value]])</f>
        <v>1000</v>
      </c>
      <c r="P37" s="82">
        <f>Table1467[[#This Row],[Kitting Quantity]]*Table1467[[#This Row],[Total]]</f>
        <v>1000</v>
      </c>
      <c r="Q37" s="11"/>
      <c r="R37" s="11" t="s">
        <v>367</v>
      </c>
      <c r="AB37">
        <f>P1</f>
        <v>1000</v>
      </c>
    </row>
    <row r="38" spans="1:28" s="1" customFormat="1">
      <c r="A38" s="24">
        <v>34</v>
      </c>
      <c r="B38" s="6" t="s">
        <v>352</v>
      </c>
      <c r="C38" s="40">
        <v>1</v>
      </c>
      <c r="D38" s="41"/>
      <c r="E38" s="83" t="s">
        <v>313</v>
      </c>
      <c r="F38" s="39" t="s">
        <v>314</v>
      </c>
      <c r="G38" s="39"/>
      <c r="H38" s="39"/>
      <c r="I38" s="39" t="s">
        <v>315</v>
      </c>
      <c r="J38" s="82">
        <v>9</v>
      </c>
      <c r="K38" s="82">
        <f>Table1467[[#This Row],[Unit Cost]]*Table1467[[#This Row],[Quantity]]</f>
        <v>9</v>
      </c>
      <c r="L38" s="329">
        <v>0</v>
      </c>
      <c r="M38" s="82">
        <f>Table1467[[#This Row],[Quantity]]*AB38-Table1467[[#This Row],[STOCK]]</f>
        <v>1000</v>
      </c>
      <c r="N38" s="82">
        <f>Table1467[[#This Row],[Quantity]]*AB38-Table1467[[#This Row],[STOCK]]</f>
        <v>1000</v>
      </c>
      <c r="O38" s="82">
        <f>IF(Table1467[[#This Row],[Interim Value]]&lt;0,0,Table1467[[#This Row],[Interim Value]])</f>
        <v>1000</v>
      </c>
      <c r="P38" s="82">
        <f>Table1467[[#This Row],[Kitting Quantity]]*Table1467[[#This Row],[Total]]</f>
        <v>9000</v>
      </c>
      <c r="Q38" s="11" t="s">
        <v>379</v>
      </c>
      <c r="R38" s="11" t="s">
        <v>388</v>
      </c>
      <c r="AB38">
        <f>P1</f>
        <v>1000</v>
      </c>
    </row>
    <row r="39" spans="1:28" s="1" customFormat="1">
      <c r="A39" s="24">
        <v>35</v>
      </c>
      <c r="B39" s="72" t="s">
        <v>336</v>
      </c>
      <c r="C39" s="40">
        <v>3</v>
      </c>
      <c r="D39" s="41"/>
      <c r="E39" s="92" t="s">
        <v>355</v>
      </c>
      <c r="F39" s="11" t="s">
        <v>354</v>
      </c>
      <c r="G39" s="39"/>
      <c r="H39" s="39"/>
      <c r="I39" s="39" t="s">
        <v>316</v>
      </c>
      <c r="J39" s="82">
        <v>0.5</v>
      </c>
      <c r="K39" s="82">
        <f>Table1467[[#This Row],[Unit Cost]]*Table1467[[#This Row],[Quantity]]</f>
        <v>1.5</v>
      </c>
      <c r="L39" s="329">
        <v>0</v>
      </c>
      <c r="M39" s="82">
        <f>Table1467[[#This Row],[Quantity]]*AB39-Table1467[[#This Row],[STOCK]]</f>
        <v>3000</v>
      </c>
      <c r="N39" s="82">
        <f>Table1467[[#This Row],[Quantity]]*AB39-Table1467[[#This Row],[STOCK]]</f>
        <v>3000</v>
      </c>
      <c r="O39" s="82">
        <f>IF(Table1467[[#This Row],[Interim Value]]&lt;0,0,Table1467[[#This Row],[Interim Value]])</f>
        <v>3000</v>
      </c>
      <c r="P39" s="82">
        <f>Table1467[[#This Row],[Kitting Quantity]]*Table1467[[#This Row],[Total]]</f>
        <v>4500</v>
      </c>
      <c r="Q39" s="11"/>
      <c r="R39" s="11" t="s">
        <v>373</v>
      </c>
      <c r="AB39">
        <f>P1</f>
        <v>1000</v>
      </c>
    </row>
    <row r="40" spans="1:28" s="1" customFormat="1">
      <c r="A40" s="25">
        <v>36</v>
      </c>
      <c r="B40" s="72" t="s">
        <v>337</v>
      </c>
      <c r="C40" s="44">
        <v>1</v>
      </c>
      <c r="D40" s="45"/>
      <c r="E40" s="92" t="s">
        <v>356</v>
      </c>
      <c r="F40" s="26" t="s">
        <v>354</v>
      </c>
      <c r="G40" s="43"/>
      <c r="H40" s="43"/>
      <c r="I40" s="43" t="s">
        <v>316</v>
      </c>
      <c r="J40" s="55">
        <v>0.5</v>
      </c>
      <c r="K40" s="55">
        <f>Table1467[[#This Row],[Unit Cost]]*Table1467[[#This Row],[Quantity]]</f>
        <v>0.5</v>
      </c>
      <c r="L40" s="330">
        <v>0</v>
      </c>
      <c r="M40" s="55">
        <f>Table1467[[#This Row],[Quantity]]*AB40-Table1467[[#This Row],[STOCK]]</f>
        <v>1000</v>
      </c>
      <c r="N40" s="55">
        <f>Table1467[[#This Row],[Quantity]]*AB40-Table1467[[#This Row],[STOCK]]</f>
        <v>1000</v>
      </c>
      <c r="O40" s="55">
        <f>IF(Table1467[[#This Row],[Interim Value]]&lt;0,0,Table1467[[#This Row],[Interim Value]])</f>
        <v>1000</v>
      </c>
      <c r="P40" s="55">
        <f>Table1467[[#This Row],[Kitting Quantity]]*Table1467[[#This Row],[Total]]</f>
        <v>500</v>
      </c>
      <c r="Q40" s="11"/>
      <c r="R40" s="11" t="s">
        <v>373</v>
      </c>
      <c r="AB40">
        <f>P1</f>
        <v>1000</v>
      </c>
    </row>
    <row r="41" spans="1:28" s="1" customFormat="1">
      <c r="A41" s="25">
        <v>37</v>
      </c>
      <c r="B41" s="72" t="s">
        <v>351</v>
      </c>
      <c r="C41" s="93">
        <v>1</v>
      </c>
      <c r="D41" s="94"/>
      <c r="E41" s="92" t="s">
        <v>350</v>
      </c>
      <c r="F41" s="26"/>
      <c r="G41" s="26"/>
      <c r="H41" s="26"/>
      <c r="I41" s="26"/>
      <c r="J41" s="72">
        <v>1.25</v>
      </c>
      <c r="K41" s="231">
        <f>Table1467[[#This Row],[Unit Cost]]*Table1467[[#This Row],[Quantity]]</f>
        <v>1.25</v>
      </c>
      <c r="L41" s="331">
        <v>0</v>
      </c>
      <c r="M41" s="148">
        <f>Table1467[[#This Row],[Quantity]]*AB41-Table1467[[#This Row],[STOCK]]</f>
        <v>1000</v>
      </c>
      <c r="N41" s="231">
        <f>Table1467[[#This Row],[Quantity]]*AB41-Table1467[[#This Row],[STOCK]]</f>
        <v>1000</v>
      </c>
      <c r="O41" s="148">
        <f>IF(Table1467[[#This Row],[Interim Value]]&lt;0,0,Table1467[[#This Row],[Interim Value]])</f>
        <v>1000</v>
      </c>
      <c r="P41" s="106">
        <f>Table1467[[#This Row],[Kitting Quantity]]*Table1467[[#This Row],[Total]]</f>
        <v>1250</v>
      </c>
      <c r="Q41" s="11"/>
      <c r="R41" s="11" t="s">
        <v>367</v>
      </c>
      <c r="AB41">
        <f>P1</f>
        <v>1000</v>
      </c>
    </row>
    <row r="42" spans="1:28" s="1" customFormat="1">
      <c r="A42" s="25">
        <v>38</v>
      </c>
      <c r="B42" s="72" t="s">
        <v>349</v>
      </c>
      <c r="C42" s="93">
        <v>1</v>
      </c>
      <c r="D42" s="94"/>
      <c r="E42" s="92" t="s">
        <v>348</v>
      </c>
      <c r="F42" s="26"/>
      <c r="G42" s="26"/>
      <c r="H42" s="26"/>
      <c r="I42" s="26"/>
      <c r="J42" s="72">
        <v>0.3</v>
      </c>
      <c r="K42" s="231">
        <f>Table1467[[#This Row],[Unit Cost]]*Table1467[[#This Row],[Quantity]]</f>
        <v>0.3</v>
      </c>
      <c r="L42" s="331">
        <v>0</v>
      </c>
      <c r="M42" s="148">
        <f>Table1467[[#This Row],[Quantity]]*AB42-Table1467[[#This Row],[STOCK]]</f>
        <v>1000</v>
      </c>
      <c r="N42" s="231">
        <f>Table1467[[#This Row],[Quantity]]*AB42-Table1467[[#This Row],[STOCK]]</f>
        <v>1000</v>
      </c>
      <c r="O42" s="148">
        <f>IF(Table1467[[#This Row],[Interim Value]]&lt;0,0,Table1467[[#This Row],[Interim Value]])</f>
        <v>1000</v>
      </c>
      <c r="P42" s="106">
        <f>Table1467[[#This Row],[Kitting Quantity]]*Table1467[[#This Row],[Total]]</f>
        <v>300</v>
      </c>
      <c r="Q42" s="11"/>
      <c r="R42" s="11" t="s">
        <v>367</v>
      </c>
      <c r="AB42">
        <f>P1</f>
        <v>1000</v>
      </c>
    </row>
    <row r="43" spans="1:28" s="1" customFormat="1">
      <c r="A43" s="25">
        <v>39</v>
      </c>
      <c r="B43" s="26"/>
      <c r="C43" s="93">
        <v>1</v>
      </c>
      <c r="D43" s="94"/>
      <c r="E43" s="209" t="s">
        <v>196</v>
      </c>
      <c r="F43" s="26"/>
      <c r="G43" s="26"/>
      <c r="H43" s="26" t="s">
        <v>477</v>
      </c>
      <c r="I43" s="26"/>
      <c r="J43" s="106">
        <v>12</v>
      </c>
      <c r="K43" s="106">
        <f>Table1467[[#This Row],[Unit Cost]]*Table1467[[#This Row],[Quantity]]</f>
        <v>12</v>
      </c>
      <c r="L43" s="332"/>
      <c r="M43" s="106">
        <f>Table1467[[#This Row],[Quantity]]*AB43-Table1467[[#This Row],[STOCK]]</f>
        <v>1000</v>
      </c>
      <c r="N43" s="106">
        <f>Table1467[[#This Row],[Quantity]]*AB43-Table1467[[#This Row],[STOCK]]</f>
        <v>1000</v>
      </c>
      <c r="O43" s="106">
        <f>IF(Table1467[[#This Row],[Interim Value]]&lt;0,0,Table1467[[#This Row],[Interim Value]])</f>
        <v>1000</v>
      </c>
      <c r="P43" s="106">
        <f>Table1467[[#This Row],[Kitting Quantity]]*Table1467[[#This Row],[Total]]</f>
        <v>12000</v>
      </c>
      <c r="Q43" s="233"/>
      <c r="R43" s="11" t="s">
        <v>370</v>
      </c>
      <c r="AB43">
        <f>P1</f>
        <v>1000</v>
      </c>
    </row>
    <row r="44" spans="1:28" s="1" customFormat="1">
      <c r="A44" s="361" t="s">
        <v>189</v>
      </c>
      <c r="B44" s="361"/>
      <c r="C44" s="361"/>
      <c r="D44" s="361"/>
      <c r="E44" s="361"/>
      <c r="F44" s="361"/>
      <c r="G44" s="361"/>
      <c r="H44" s="361"/>
      <c r="I44" s="361"/>
      <c r="J44" s="361"/>
      <c r="K44" s="104">
        <f>SUBTOTAL(109,Table1467[Total])</f>
        <v>123.77</v>
      </c>
      <c r="L44" s="104"/>
      <c r="M44" s="298"/>
      <c r="N44" s="339"/>
      <c r="O44" s="298"/>
      <c r="P44" s="107">
        <f>SUM(Table1467[PRICE])</f>
        <v>150070</v>
      </c>
      <c r="AB44">
        <f>P1</f>
        <v>1000</v>
      </c>
    </row>
    <row r="46" spans="1:28" ht="15.75" thickBot="1"/>
    <row r="47" spans="1:28" ht="15.75" thickBot="1">
      <c r="B47" s="343" t="s">
        <v>515</v>
      </c>
      <c r="C47" s="344"/>
      <c r="E47" s="343" t="s">
        <v>516</v>
      </c>
      <c r="F47" s="416"/>
      <c r="G47" s="416"/>
      <c r="H47" s="416"/>
      <c r="I47" s="416"/>
      <c r="J47" s="344"/>
    </row>
    <row r="48" spans="1:28">
      <c r="B48" s="249" t="s">
        <v>509</v>
      </c>
      <c r="C48" s="255">
        <f>K42+K41+K37+K34</f>
        <v>22.55</v>
      </c>
      <c r="E48" s="249" t="s">
        <v>509</v>
      </c>
      <c r="F48" s="255">
        <f t="shared" ref="F48" si="0">N42+N41+N37+N34</f>
        <v>4000</v>
      </c>
      <c r="G48" s="249" t="s">
        <v>509</v>
      </c>
      <c r="H48" s="255">
        <f t="shared" ref="H48" si="1">P42+P41+P37+P34</f>
        <v>22550</v>
      </c>
      <c r="I48" s="249" t="s">
        <v>509</v>
      </c>
      <c r="J48" s="255">
        <f>P42+P41+P37+P34</f>
        <v>22550</v>
      </c>
    </row>
    <row r="49" spans="2:10">
      <c r="B49" s="250" t="s">
        <v>492</v>
      </c>
      <c r="C49" s="251">
        <v>0</v>
      </c>
      <c r="E49" s="250" t="s">
        <v>492</v>
      </c>
      <c r="F49" s="251">
        <v>0</v>
      </c>
      <c r="G49" s="250" t="s">
        <v>492</v>
      </c>
      <c r="H49" s="251">
        <v>0</v>
      </c>
      <c r="I49" s="250" t="s">
        <v>492</v>
      </c>
      <c r="J49" s="251">
        <v>0</v>
      </c>
    </row>
    <row r="50" spans="2:10">
      <c r="B50" s="250" t="s">
        <v>493</v>
      </c>
      <c r="C50" s="253">
        <f>K38</f>
        <v>9</v>
      </c>
      <c r="E50" s="250" t="s">
        <v>493</v>
      </c>
      <c r="F50" s="253">
        <f t="shared" ref="F50" si="2">N38</f>
        <v>1000</v>
      </c>
      <c r="G50" s="250" t="s">
        <v>493</v>
      </c>
      <c r="H50" s="253">
        <f t="shared" ref="H50" si="3">P38</f>
        <v>9000</v>
      </c>
      <c r="I50" s="250" t="s">
        <v>493</v>
      </c>
      <c r="J50" s="253">
        <f>P38</f>
        <v>9000</v>
      </c>
    </row>
    <row r="51" spans="2:10">
      <c r="B51" s="250" t="s">
        <v>490</v>
      </c>
      <c r="C51" s="253">
        <f>K40+K39+K20+K12+K11+K9</f>
        <v>16.25</v>
      </c>
      <c r="E51" s="250" t="s">
        <v>490</v>
      </c>
      <c r="F51" s="253">
        <f t="shared" ref="F51" si="4">N40+N39+N20+N12+N11+N9</f>
        <v>9000</v>
      </c>
      <c r="G51" s="250" t="s">
        <v>490</v>
      </c>
      <c r="H51" s="253">
        <f t="shared" ref="H51" si="5">P40+P39+P20+P12+P11+P9</f>
        <v>29250</v>
      </c>
      <c r="I51" s="250" t="s">
        <v>490</v>
      </c>
      <c r="J51" s="253">
        <f>P40+P39+P20+P12+P11+P9</f>
        <v>29250</v>
      </c>
    </row>
    <row r="52" spans="2:10">
      <c r="B52" s="250" t="s">
        <v>494</v>
      </c>
      <c r="C52" s="253">
        <f>K43+K36+K35+K31+K30+K29+K28+K27+K26+K25+K24+K23+K22+K21+K19+K18+K17+K16+K15+K14+K13+K10+K8+K7+K6</f>
        <v>59.97</v>
      </c>
      <c r="E52" s="250" t="s">
        <v>494</v>
      </c>
      <c r="F52" s="253">
        <f t="shared" ref="F52" si="6">N43+N36+N35+N31+N30+N29+N28+N27+N26+N25+N24+N23+N22+N21+N19+N18+N17+N16+N15+N14+N13+N10+N8+N7+N6</f>
        <v>16000</v>
      </c>
      <c r="G52" s="250" t="s">
        <v>494</v>
      </c>
      <c r="H52" s="253">
        <f t="shared" ref="H52" si="7">P43+P36+P35+P31+P30+P29+P28+P27+P26+P25+P24+P23+P22+P21+P19+P18+P17+P16+P15+P14+P13+P10+P8+P7+P6</f>
        <v>73270</v>
      </c>
      <c r="I52" s="250" t="s">
        <v>494</v>
      </c>
      <c r="J52" s="253">
        <f>P43+P36+P35+P31+P30+P29+P28+P27+P26+P25+P24+P23+P22+P21+P19+P18+P17+P16+P15+P14+P13+P10+P8+P7+P6</f>
        <v>73270</v>
      </c>
    </row>
    <row r="53" spans="2:10" ht="15.75" thickBot="1">
      <c r="B53" s="252" t="s">
        <v>495</v>
      </c>
      <c r="C53" s="254">
        <f>K33</f>
        <v>16</v>
      </c>
      <c r="E53" s="252" t="s">
        <v>495</v>
      </c>
      <c r="F53" s="254">
        <f t="shared" ref="F53" si="8">N33</f>
        <v>1000</v>
      </c>
      <c r="G53" s="252" t="s">
        <v>495</v>
      </c>
      <c r="H53" s="254">
        <f t="shared" ref="H53" si="9">P33</f>
        <v>16000</v>
      </c>
      <c r="I53" s="252" t="s">
        <v>495</v>
      </c>
      <c r="J53" s="254">
        <f>P33</f>
        <v>16000</v>
      </c>
    </row>
    <row r="54" spans="2:10" ht="15.75" thickBot="1">
      <c r="C54" s="198">
        <f>SUM(C48:C53)</f>
        <v>123.77</v>
      </c>
      <c r="F54" s="198">
        <f>SUM(F48:F53)</f>
        <v>31000</v>
      </c>
      <c r="J54" s="417">
        <f>SUM(J48:J53)</f>
        <v>150070</v>
      </c>
    </row>
  </sheetData>
  <mergeCells count="8">
    <mergeCell ref="B47:C47"/>
    <mergeCell ref="A1:B1"/>
    <mergeCell ref="C1:D1"/>
    <mergeCell ref="A3:P3"/>
    <mergeCell ref="A4:P4"/>
    <mergeCell ref="A44:J44"/>
    <mergeCell ref="E1:I1"/>
    <mergeCell ref="E47:J47"/>
  </mergeCells>
  <pageMargins left="0.7" right="0.7" top="0.75" bottom="0.75" header="0.3" footer="0.3"/>
  <pageSetup scale="56" orientation="landscape" horizontalDpi="0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4"/>
  <sheetViews>
    <sheetView topLeftCell="A37" workbookViewId="0">
      <selection activeCell="L1" sqref="L1:M1"/>
    </sheetView>
  </sheetViews>
  <sheetFormatPr defaultRowHeight="15"/>
  <cols>
    <col min="1" max="1" width="9.28515625" bestFit="1" customWidth="1"/>
    <col min="2" max="2" width="15.5703125" customWidth="1"/>
    <col min="3" max="3" width="12.42578125" bestFit="1" customWidth="1"/>
    <col min="4" max="4" width="13.5703125" bestFit="1" customWidth="1"/>
    <col min="5" max="5" width="34.28515625" customWidth="1"/>
    <col min="6" max="6" width="40" hidden="1" customWidth="1"/>
    <col min="7" max="7" width="11.28515625" hidden="1" customWidth="1"/>
    <col min="8" max="8" width="28" hidden="1" customWidth="1"/>
    <col min="9" max="9" width="29.42578125" hidden="1" customWidth="1"/>
    <col min="10" max="11" width="13.85546875" style="75" customWidth="1"/>
    <col min="12" max="12" width="17" style="75" bestFit="1" customWidth="1"/>
    <col min="13" max="14" width="13.85546875" style="75" customWidth="1"/>
    <col min="15" max="15" width="11" style="75" customWidth="1"/>
    <col min="16" max="16" width="24.7109375" customWidth="1"/>
    <col min="17" max="17" width="19" customWidth="1"/>
    <col min="18" max="23" width="9.140625" customWidth="1"/>
    <col min="26" max="26" width="9.140625" style="1"/>
  </cols>
  <sheetData>
    <row r="1" spans="1:26" ht="16.5" thickBot="1">
      <c r="A1" s="348" t="s">
        <v>138</v>
      </c>
      <c r="B1" s="348"/>
      <c r="C1" s="349" t="s">
        <v>303</v>
      </c>
      <c r="D1" s="349"/>
      <c r="E1" s="367" t="s">
        <v>484</v>
      </c>
      <c r="F1" s="366"/>
      <c r="G1" s="366"/>
      <c r="H1" s="8"/>
      <c r="I1" s="8"/>
      <c r="J1" s="73"/>
      <c r="K1" s="73"/>
      <c r="L1" s="328" t="s">
        <v>514</v>
      </c>
      <c r="M1" s="327">
        <f>'Detail-Planner'!E14</f>
        <v>0</v>
      </c>
      <c r="N1" s="73"/>
      <c r="O1" s="73"/>
    </row>
    <row r="2" spans="1:26">
      <c r="A2" s="8"/>
      <c r="B2" s="8"/>
      <c r="C2" s="8"/>
      <c r="D2" s="8"/>
      <c r="E2" s="7"/>
      <c r="F2" s="8"/>
      <c r="G2" s="8"/>
      <c r="H2" s="8"/>
      <c r="I2" s="8"/>
      <c r="J2" s="73"/>
      <c r="K2" s="73"/>
      <c r="L2" s="73"/>
      <c r="M2" s="73"/>
      <c r="N2" s="73"/>
      <c r="O2" s="73"/>
    </row>
    <row r="3" spans="1:26">
      <c r="A3" s="350" t="s">
        <v>398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26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26">
      <c r="A5" s="22" t="s">
        <v>0</v>
      </c>
      <c r="B5" s="85" t="s">
        <v>139</v>
      </c>
      <c r="C5" s="23" t="s">
        <v>1</v>
      </c>
      <c r="D5" s="23" t="s">
        <v>2</v>
      </c>
      <c r="E5" s="23" t="s">
        <v>3</v>
      </c>
      <c r="F5" s="23" t="s">
        <v>140</v>
      </c>
      <c r="G5" s="23" t="s">
        <v>141</v>
      </c>
      <c r="H5" s="23" t="s">
        <v>142</v>
      </c>
      <c r="I5" s="23" t="s">
        <v>143</v>
      </c>
      <c r="J5" s="86" t="s">
        <v>470</v>
      </c>
      <c r="K5" s="86" t="s">
        <v>476</v>
      </c>
      <c r="L5" s="145" t="s">
        <v>347</v>
      </c>
      <c r="M5" s="399" t="s">
        <v>519</v>
      </c>
      <c r="N5" s="315" t="s">
        <v>514</v>
      </c>
      <c r="O5" s="86" t="s">
        <v>144</v>
      </c>
      <c r="P5" s="151" t="s">
        <v>360</v>
      </c>
      <c r="Q5" s="151" t="s">
        <v>361</v>
      </c>
    </row>
    <row r="6" spans="1:26">
      <c r="A6" s="24">
        <v>1</v>
      </c>
      <c r="B6" s="84" t="s">
        <v>317</v>
      </c>
      <c r="C6" s="35">
        <v>4</v>
      </c>
      <c r="D6" s="71" t="s">
        <v>255</v>
      </c>
      <c r="E6" s="36" t="s">
        <v>236</v>
      </c>
      <c r="F6" s="72" t="s">
        <v>265</v>
      </c>
      <c r="G6" s="77">
        <v>0.1</v>
      </c>
      <c r="H6" s="36" t="s">
        <v>282</v>
      </c>
      <c r="I6" s="72" t="s">
        <v>292</v>
      </c>
      <c r="J6" s="74">
        <v>0.39</v>
      </c>
      <c r="K6" s="74">
        <f>Table146[[#This Row],[Unit Cost]]*Table146[[#This Row],[Quantity]]</f>
        <v>1.56</v>
      </c>
      <c r="L6" s="74">
        <v>60000</v>
      </c>
      <c r="M6" s="74">
        <f>Table146[[#This Row],[Quantity]]*Z6-Table146[[#This Row],[STOCK]]</f>
        <v>-60000</v>
      </c>
      <c r="N6" s="74">
        <f>IF(Table146[[#This Row],[Interim Value2]]&lt;0,0,Table146[[#This Row],[Interim Value2]])</f>
        <v>0</v>
      </c>
      <c r="O6" s="105">
        <f>Table146[[#This Row],[STOCK]]*Table146[[#This Row],[Unit Cost]]</f>
        <v>23400</v>
      </c>
      <c r="P6" s="11" t="s">
        <v>292</v>
      </c>
      <c r="Q6" s="11" t="s">
        <v>370</v>
      </c>
      <c r="Z6" s="1">
        <f>M1</f>
        <v>0</v>
      </c>
    </row>
    <row r="7" spans="1:26" s="1" customFormat="1" ht="15.75" thickBot="1">
      <c r="A7" s="24">
        <v>2</v>
      </c>
      <c r="B7" s="166" t="s">
        <v>401</v>
      </c>
      <c r="C7" s="69">
        <v>2</v>
      </c>
      <c r="D7" s="70" t="s">
        <v>256</v>
      </c>
      <c r="E7" s="161" t="s">
        <v>392</v>
      </c>
      <c r="F7" s="162" t="s">
        <v>400</v>
      </c>
      <c r="G7" s="76">
        <v>0.05</v>
      </c>
      <c r="H7" s="163" t="s">
        <v>393</v>
      </c>
      <c r="I7" s="72" t="s">
        <v>292</v>
      </c>
      <c r="J7" s="74">
        <v>1.5</v>
      </c>
      <c r="K7" s="74">
        <f>Table146[[#This Row],[Unit Cost]]*Table146[[#This Row],[Quantity]]</f>
        <v>3</v>
      </c>
      <c r="L7" s="74">
        <v>0</v>
      </c>
      <c r="M7" s="74">
        <f>Table146[[#This Row],[Quantity]]*Z7-Table146[[#This Row],[STOCK]]</f>
        <v>0</v>
      </c>
      <c r="N7" s="74">
        <f>IF(Table146[[#This Row],[Interim Value2]]&lt;0,0,Table146[[#This Row],[Interim Value2]])</f>
        <v>0</v>
      </c>
      <c r="O7" s="105">
        <f>Table146[[#This Row],[STOCK]]*Table146[[#This Row],[Unit Cost]]</f>
        <v>0</v>
      </c>
      <c r="P7" s="11" t="s">
        <v>292</v>
      </c>
      <c r="Q7" s="11" t="s">
        <v>370</v>
      </c>
      <c r="Z7" s="1">
        <f>M1</f>
        <v>0</v>
      </c>
    </row>
    <row r="8" spans="1:26" s="1" customFormat="1">
      <c r="A8" s="24">
        <v>3</v>
      </c>
      <c r="B8" s="11" t="s">
        <v>12</v>
      </c>
      <c r="C8" s="35">
        <v>1</v>
      </c>
      <c r="D8" s="36" t="s">
        <v>17</v>
      </c>
      <c r="E8" s="36" t="s">
        <v>149</v>
      </c>
      <c r="F8" s="36" t="s">
        <v>266</v>
      </c>
      <c r="G8" s="77">
        <v>0.05</v>
      </c>
      <c r="H8" s="36" t="s">
        <v>283</v>
      </c>
      <c r="I8" s="72" t="s">
        <v>293</v>
      </c>
      <c r="J8" s="74">
        <v>0.6</v>
      </c>
      <c r="K8" s="74">
        <f>Table146[[#This Row],[Unit Cost]]*Table146[[#This Row],[Quantity]]</f>
        <v>0.6</v>
      </c>
      <c r="L8" s="74">
        <v>0</v>
      </c>
      <c r="M8" s="74">
        <f>Table146[[#This Row],[Quantity]]*Z8-Table146[[#This Row],[STOCK]]</f>
        <v>0</v>
      </c>
      <c r="N8" s="74">
        <f>IF(Table146[[#This Row],[Interim Value2]]&lt;0,0,Table146[[#This Row],[Interim Value2]])</f>
        <v>0</v>
      </c>
      <c r="O8" s="105">
        <f>Table146[[#This Row],[STOCK]]*Table146[[#This Row],[Unit Cost]]</f>
        <v>0</v>
      </c>
      <c r="P8" s="11" t="s">
        <v>371</v>
      </c>
      <c r="Q8" s="11" t="s">
        <v>370</v>
      </c>
      <c r="Z8" s="1">
        <f>M1</f>
        <v>0</v>
      </c>
    </row>
    <row r="9" spans="1:26" s="1" customFormat="1">
      <c r="A9" s="24">
        <v>4</v>
      </c>
      <c r="B9" s="84" t="s">
        <v>318</v>
      </c>
      <c r="C9" s="35">
        <v>1</v>
      </c>
      <c r="D9" s="36" t="s">
        <v>24</v>
      </c>
      <c r="E9" s="71" t="s">
        <v>237</v>
      </c>
      <c r="F9" s="36" t="s">
        <v>267</v>
      </c>
      <c r="G9" s="77">
        <v>0.1</v>
      </c>
      <c r="H9" s="36" t="s">
        <v>284</v>
      </c>
      <c r="I9" s="72" t="s">
        <v>293</v>
      </c>
      <c r="J9" s="74">
        <v>0.73</v>
      </c>
      <c r="K9" s="74">
        <f>Table146[[#This Row],[Unit Cost]]*Table146[[#This Row],[Quantity]]</f>
        <v>0.73</v>
      </c>
      <c r="L9" s="74">
        <v>2990</v>
      </c>
      <c r="M9" s="74">
        <f>Table146[[#This Row],[Quantity]]*Z9-Table146[[#This Row],[STOCK]]</f>
        <v>-2990</v>
      </c>
      <c r="N9" s="74">
        <f>IF(Table146[[#This Row],[Interim Value2]]&lt;0,0,Table146[[#This Row],[Interim Value2]])</f>
        <v>0</v>
      </c>
      <c r="O9" s="105">
        <f>Table146[[#This Row],[STOCK]]*Table146[[#This Row],[Unit Cost]]</f>
        <v>2182.6999999999998</v>
      </c>
      <c r="P9" s="11" t="s">
        <v>372</v>
      </c>
      <c r="Q9" s="11" t="s">
        <v>373</v>
      </c>
      <c r="Z9" s="1">
        <f>M1</f>
        <v>0</v>
      </c>
    </row>
    <row r="10" spans="1:26" s="1" customFormat="1">
      <c r="A10" s="24">
        <v>5</v>
      </c>
      <c r="B10" s="84" t="s">
        <v>319</v>
      </c>
      <c r="C10" s="35">
        <v>1</v>
      </c>
      <c r="D10" s="36" t="s">
        <v>97</v>
      </c>
      <c r="E10" s="36" t="s">
        <v>238</v>
      </c>
      <c r="F10" s="36" t="s">
        <v>268</v>
      </c>
      <c r="G10" s="77">
        <v>0.05</v>
      </c>
      <c r="H10" s="36" t="s">
        <v>283</v>
      </c>
      <c r="I10" s="72" t="s">
        <v>292</v>
      </c>
      <c r="J10" s="74">
        <v>0.6</v>
      </c>
      <c r="K10" s="74">
        <f>Table146[[#This Row],[Unit Cost]]*Table146[[#This Row],[Quantity]]</f>
        <v>0.6</v>
      </c>
      <c r="L10" s="74">
        <v>0</v>
      </c>
      <c r="M10" s="74">
        <f>Table146[[#This Row],[Quantity]]*Z10-Table146[[#This Row],[STOCK]]</f>
        <v>0</v>
      </c>
      <c r="N10" s="74">
        <f>IF(Table146[[#This Row],[Interim Value2]]&lt;0,0,Table146[[#This Row],[Interim Value2]])</f>
        <v>0</v>
      </c>
      <c r="O10" s="105">
        <f>Table146[[#This Row],[STOCK]]*Table146[[#This Row],[Unit Cost]]</f>
        <v>0</v>
      </c>
      <c r="P10" s="11" t="s">
        <v>292</v>
      </c>
      <c r="Q10" s="11" t="s">
        <v>370</v>
      </c>
      <c r="Z10" s="1">
        <f>M1</f>
        <v>0</v>
      </c>
    </row>
    <row r="11" spans="1:26" s="1" customFormat="1">
      <c r="A11" s="24">
        <v>6</v>
      </c>
      <c r="B11" s="84" t="s">
        <v>19</v>
      </c>
      <c r="C11" s="35">
        <v>1</v>
      </c>
      <c r="D11" s="36" t="s">
        <v>95</v>
      </c>
      <c r="E11" s="36" t="s">
        <v>239</v>
      </c>
      <c r="F11" s="71" t="s">
        <v>269</v>
      </c>
      <c r="G11" s="77">
        <v>0.05</v>
      </c>
      <c r="H11" s="36" t="s">
        <v>284</v>
      </c>
      <c r="I11" s="72" t="s">
        <v>293</v>
      </c>
      <c r="J11" s="74">
        <v>0.64</v>
      </c>
      <c r="K11" s="74">
        <f>Table146[[#This Row],[Unit Cost]]*Table146[[#This Row],[Quantity]]</f>
        <v>0.64</v>
      </c>
      <c r="L11" s="74">
        <v>10000</v>
      </c>
      <c r="M11" s="74">
        <f>Table146[[#This Row],[Quantity]]*Z11-Table146[[#This Row],[STOCK]]</f>
        <v>-10000</v>
      </c>
      <c r="N11" s="74">
        <f>IF(Table146[[#This Row],[Interim Value2]]&lt;0,0,Table146[[#This Row],[Interim Value2]])</f>
        <v>0</v>
      </c>
      <c r="O11" s="105">
        <f>Table146[[#This Row],[STOCK]]*Table146[[#This Row],[Unit Cost]]</f>
        <v>6400</v>
      </c>
      <c r="P11" s="11" t="s">
        <v>372</v>
      </c>
      <c r="Q11" s="11" t="s">
        <v>373</v>
      </c>
      <c r="Z11" s="1">
        <f>M1</f>
        <v>0</v>
      </c>
    </row>
    <row r="12" spans="1:26" s="1" customFormat="1">
      <c r="A12" s="24">
        <v>7</v>
      </c>
      <c r="B12" s="72" t="s">
        <v>320</v>
      </c>
      <c r="C12" s="35">
        <v>1</v>
      </c>
      <c r="D12" s="36" t="s">
        <v>22</v>
      </c>
      <c r="E12" s="71" t="s">
        <v>240</v>
      </c>
      <c r="F12" s="71" t="s">
        <v>270</v>
      </c>
      <c r="G12" s="77">
        <v>0.1</v>
      </c>
      <c r="H12" s="36" t="s">
        <v>284</v>
      </c>
      <c r="I12" s="72" t="s">
        <v>293</v>
      </c>
      <c r="J12" s="74">
        <v>2.95</v>
      </c>
      <c r="K12" s="74">
        <f>Table146[[#This Row],[Unit Cost]]*Table146[[#This Row],[Quantity]]</f>
        <v>2.95</v>
      </c>
      <c r="L12" s="74">
        <v>2989</v>
      </c>
      <c r="M12" s="74">
        <f>Table146[[#This Row],[Quantity]]*Z12-Table146[[#This Row],[STOCK]]</f>
        <v>-2989</v>
      </c>
      <c r="N12" s="74">
        <f>IF(Table146[[#This Row],[Interim Value2]]&lt;0,0,Table146[[#This Row],[Interim Value2]])</f>
        <v>0</v>
      </c>
      <c r="O12" s="105">
        <f>Table146[[#This Row],[STOCK]]*Table146[[#This Row],[Unit Cost]]</f>
        <v>8817.5500000000011</v>
      </c>
      <c r="P12" s="11" t="s">
        <v>372</v>
      </c>
      <c r="Q12" s="11" t="s">
        <v>373</v>
      </c>
      <c r="Z12" s="1">
        <f>M1</f>
        <v>0</v>
      </c>
    </row>
    <row r="13" spans="1:26" s="1" customFormat="1">
      <c r="A13" s="24">
        <v>8</v>
      </c>
      <c r="B13" s="84" t="s">
        <v>38</v>
      </c>
      <c r="C13" s="35">
        <v>2</v>
      </c>
      <c r="D13" s="36" t="s">
        <v>257</v>
      </c>
      <c r="E13" s="36" t="s">
        <v>241</v>
      </c>
      <c r="F13" s="36" t="s">
        <v>271</v>
      </c>
      <c r="G13" s="72"/>
      <c r="H13" s="36" t="s">
        <v>285</v>
      </c>
      <c r="I13" s="72" t="s">
        <v>292</v>
      </c>
      <c r="J13" s="149">
        <v>3</v>
      </c>
      <c r="K13" s="149">
        <f>Table146[[#This Row],[Unit Cost]]*Table146[[#This Row],[Quantity]]</f>
        <v>6</v>
      </c>
      <c r="L13" s="74">
        <v>19500</v>
      </c>
      <c r="M13" s="74">
        <f>Table146[[#This Row],[Quantity]]*Z13-Table146[[#This Row],[STOCK]]</f>
        <v>-19500</v>
      </c>
      <c r="N13" s="74">
        <f>IF(Table146[[#This Row],[Interim Value2]]&lt;0,0,Table146[[#This Row],[Interim Value2]])</f>
        <v>0</v>
      </c>
      <c r="O13" s="105">
        <f>Table146[[#This Row],[STOCK]]*Table146[[#This Row],[Unit Cost]]</f>
        <v>58500</v>
      </c>
      <c r="P13" s="11" t="s">
        <v>371</v>
      </c>
      <c r="Q13" s="11" t="s">
        <v>370</v>
      </c>
      <c r="Z13" s="1">
        <f>M1</f>
        <v>0</v>
      </c>
    </row>
    <row r="14" spans="1:26" s="1" customFormat="1">
      <c r="A14" s="24">
        <v>9</v>
      </c>
      <c r="B14" s="84" t="s">
        <v>321</v>
      </c>
      <c r="C14" s="35">
        <v>1</v>
      </c>
      <c r="D14" s="36" t="s">
        <v>87</v>
      </c>
      <c r="E14" s="36" t="s">
        <v>242</v>
      </c>
      <c r="F14" s="71" t="s">
        <v>272</v>
      </c>
      <c r="G14" s="77">
        <v>0.1</v>
      </c>
      <c r="H14" s="36" t="s">
        <v>286</v>
      </c>
      <c r="I14" s="72" t="s">
        <v>293</v>
      </c>
      <c r="J14" s="74">
        <v>3.08</v>
      </c>
      <c r="K14" s="74">
        <f>Table146[[#This Row],[Unit Cost]]*Table146[[#This Row],[Quantity]]</f>
        <v>3.08</v>
      </c>
      <c r="L14" s="74">
        <v>10000</v>
      </c>
      <c r="M14" s="74">
        <f>Table146[[#This Row],[Quantity]]*Z14-Table146[[#This Row],[STOCK]]</f>
        <v>-10000</v>
      </c>
      <c r="N14" s="74">
        <f>IF(Table146[[#This Row],[Interim Value2]]&lt;0,0,Table146[[#This Row],[Interim Value2]])</f>
        <v>0</v>
      </c>
      <c r="O14" s="105">
        <f>Table146[[#This Row],[STOCK]]*Table146[[#This Row],[Unit Cost]]</f>
        <v>30800</v>
      </c>
      <c r="P14" s="11" t="s">
        <v>292</v>
      </c>
      <c r="Q14" s="11" t="s">
        <v>370</v>
      </c>
      <c r="Z14" s="1">
        <f>M1</f>
        <v>0</v>
      </c>
    </row>
    <row r="15" spans="1:26" s="1" customFormat="1">
      <c r="A15" s="24">
        <v>10</v>
      </c>
      <c r="B15" s="84" t="s">
        <v>322</v>
      </c>
      <c r="C15" s="35">
        <v>1</v>
      </c>
      <c r="D15" s="36" t="s">
        <v>100</v>
      </c>
      <c r="E15" s="36" t="s">
        <v>243</v>
      </c>
      <c r="F15" s="71" t="s">
        <v>273</v>
      </c>
      <c r="G15" s="77"/>
      <c r="H15" s="36"/>
      <c r="I15" s="72" t="s">
        <v>293</v>
      </c>
      <c r="J15" s="74">
        <v>1.75</v>
      </c>
      <c r="K15" s="74">
        <f>Table146[[#This Row],[Unit Cost]]*Table146[[#This Row],[Quantity]]</f>
        <v>1.75</v>
      </c>
      <c r="L15" s="74">
        <v>15000</v>
      </c>
      <c r="M15" s="74">
        <f>Table146[[#This Row],[Quantity]]*Z15-Table146[[#This Row],[STOCK]]</f>
        <v>-15000</v>
      </c>
      <c r="N15" s="74">
        <f>IF(Table146[[#This Row],[Interim Value2]]&lt;0,0,Table146[[#This Row],[Interim Value2]])</f>
        <v>0</v>
      </c>
      <c r="O15" s="105">
        <f>Table146[[#This Row],[STOCK]]*Table146[[#This Row],[Unit Cost]]</f>
        <v>26250</v>
      </c>
      <c r="P15" s="11" t="s">
        <v>371</v>
      </c>
      <c r="Q15" s="11" t="s">
        <v>370</v>
      </c>
      <c r="Z15" s="1">
        <f>M1</f>
        <v>0</v>
      </c>
    </row>
    <row r="16" spans="1:26">
      <c r="A16" s="24">
        <v>11</v>
      </c>
      <c r="B16" s="84" t="s">
        <v>323</v>
      </c>
      <c r="C16" s="35">
        <v>1</v>
      </c>
      <c r="D16" s="36" t="s">
        <v>258</v>
      </c>
      <c r="E16" s="36" t="s">
        <v>244</v>
      </c>
      <c r="F16" s="71" t="s">
        <v>274</v>
      </c>
      <c r="G16" s="77"/>
      <c r="H16" s="36" t="s">
        <v>287</v>
      </c>
      <c r="I16" s="72" t="s">
        <v>292</v>
      </c>
      <c r="J16" s="74">
        <v>0.65</v>
      </c>
      <c r="K16" s="74">
        <f>Table146[[#This Row],[Unit Cost]]*Table146[[#This Row],[Quantity]]</f>
        <v>0.65</v>
      </c>
      <c r="L16" s="74">
        <v>0</v>
      </c>
      <c r="M16" s="74">
        <f>Table146[[#This Row],[Quantity]]*Z16-Table146[[#This Row],[STOCK]]</f>
        <v>0</v>
      </c>
      <c r="N16" s="74">
        <f>IF(Table146[[#This Row],[Interim Value2]]&lt;0,0,Table146[[#This Row],[Interim Value2]])</f>
        <v>0</v>
      </c>
      <c r="O16" s="105">
        <f>Table146[[#This Row],[STOCK]]*Table146[[#This Row],[Unit Cost]]</f>
        <v>0</v>
      </c>
      <c r="P16" s="11" t="s">
        <v>292</v>
      </c>
      <c r="Q16" s="11" t="s">
        <v>370</v>
      </c>
      <c r="Z16" s="1">
        <f>M1</f>
        <v>0</v>
      </c>
    </row>
    <row r="17" spans="1:26">
      <c r="A17" s="24">
        <v>12</v>
      </c>
      <c r="B17" s="84" t="s">
        <v>323</v>
      </c>
      <c r="C17" s="35">
        <v>1</v>
      </c>
      <c r="D17" s="36" t="s">
        <v>259</v>
      </c>
      <c r="E17" s="36" t="s">
        <v>244</v>
      </c>
      <c r="F17" s="71" t="s">
        <v>274</v>
      </c>
      <c r="G17" s="72"/>
      <c r="H17" s="36" t="s">
        <v>287</v>
      </c>
      <c r="I17" s="72" t="s">
        <v>292</v>
      </c>
      <c r="J17" s="74">
        <v>0.65</v>
      </c>
      <c r="K17" s="74">
        <f>Table146[[#This Row],[Unit Cost]]*Table146[[#This Row],[Quantity]]</f>
        <v>0.65</v>
      </c>
      <c r="L17" s="74">
        <v>0</v>
      </c>
      <c r="M17" s="74">
        <f>Table146[[#This Row],[Quantity]]*Z17-Table146[[#This Row],[STOCK]]</f>
        <v>0</v>
      </c>
      <c r="N17" s="74">
        <f>IF(Table146[[#This Row],[Interim Value2]]&lt;0,0,Table146[[#This Row],[Interim Value2]])</f>
        <v>0</v>
      </c>
      <c r="O17" s="105">
        <f>Table146[[#This Row],[STOCK]]*Table146[[#This Row],[Unit Cost]]</f>
        <v>0</v>
      </c>
      <c r="P17" s="11" t="s">
        <v>292</v>
      </c>
      <c r="Q17" s="11" t="s">
        <v>370</v>
      </c>
      <c r="Z17" s="1">
        <f>M1</f>
        <v>0</v>
      </c>
    </row>
    <row r="18" spans="1:26">
      <c r="A18" s="24">
        <v>13</v>
      </c>
      <c r="B18" s="84" t="s">
        <v>27</v>
      </c>
      <c r="C18" s="35">
        <v>1</v>
      </c>
      <c r="D18" s="36" t="s">
        <v>260</v>
      </c>
      <c r="E18" s="36" t="s">
        <v>29</v>
      </c>
      <c r="F18" s="36" t="s">
        <v>164</v>
      </c>
      <c r="G18" s="72"/>
      <c r="H18" s="71" t="s">
        <v>288</v>
      </c>
      <c r="I18" s="72" t="s">
        <v>293</v>
      </c>
      <c r="J18" s="74">
        <v>3.5</v>
      </c>
      <c r="K18" s="74">
        <f>Table146[[#This Row],[Unit Cost]]*Table146[[#This Row],[Quantity]]</f>
        <v>3.5</v>
      </c>
      <c r="L18" s="74">
        <v>0</v>
      </c>
      <c r="M18" s="74">
        <f>Table146[[#This Row],[Quantity]]*Z18-Table146[[#This Row],[STOCK]]</f>
        <v>0</v>
      </c>
      <c r="N18" s="74">
        <f>IF(Table146[[#This Row],[Interim Value2]]&lt;0,0,Table146[[#This Row],[Interim Value2]])</f>
        <v>0</v>
      </c>
      <c r="O18" s="105">
        <f>Table146[[#This Row],[STOCK]]*Table146[[#This Row],[Unit Cost]]</f>
        <v>0</v>
      </c>
      <c r="P18" s="11" t="s">
        <v>292</v>
      </c>
      <c r="Q18" s="11" t="s">
        <v>370</v>
      </c>
      <c r="Z18" s="1">
        <f>M1</f>
        <v>0</v>
      </c>
    </row>
    <row r="19" spans="1:26" s="1" customFormat="1">
      <c r="A19" s="24">
        <v>14</v>
      </c>
      <c r="B19" s="84" t="s">
        <v>205</v>
      </c>
      <c r="C19" s="35">
        <v>1</v>
      </c>
      <c r="D19" s="36" t="s">
        <v>110</v>
      </c>
      <c r="E19" s="71" t="s">
        <v>295</v>
      </c>
      <c r="F19" s="36" t="s">
        <v>167</v>
      </c>
      <c r="G19" s="72"/>
      <c r="H19" s="36" t="s">
        <v>289</v>
      </c>
      <c r="I19" s="78" t="s">
        <v>293</v>
      </c>
      <c r="J19" s="74">
        <v>2.5</v>
      </c>
      <c r="K19" s="74">
        <f>Table146[[#This Row],[Unit Cost]]*Table146[[#This Row],[Quantity]]</f>
        <v>2.5</v>
      </c>
      <c r="L19" s="74">
        <v>0</v>
      </c>
      <c r="M19" s="74">
        <f>Table146[[#This Row],[Quantity]]*Z19-Table146[[#This Row],[STOCK]]</f>
        <v>0</v>
      </c>
      <c r="N19" s="74">
        <f>IF(Table146[[#This Row],[Interim Value2]]&lt;0,0,Table146[[#This Row],[Interim Value2]])</f>
        <v>0</v>
      </c>
      <c r="O19" s="105">
        <f>Table146[[#This Row],[STOCK]]*Table146[[#This Row],[Unit Cost]]</f>
        <v>0</v>
      </c>
      <c r="P19" s="11" t="s">
        <v>292</v>
      </c>
      <c r="Q19" s="11" t="s">
        <v>370</v>
      </c>
      <c r="Z19" s="1">
        <f>M1</f>
        <v>0</v>
      </c>
    </row>
    <row r="20" spans="1:26">
      <c r="A20" s="24">
        <v>15</v>
      </c>
      <c r="B20" s="72" t="s">
        <v>324</v>
      </c>
      <c r="C20" s="35">
        <v>2</v>
      </c>
      <c r="D20" s="36" t="s">
        <v>261</v>
      </c>
      <c r="E20" s="36" t="s">
        <v>245</v>
      </c>
      <c r="F20" s="36" t="s">
        <v>275</v>
      </c>
      <c r="G20" s="77">
        <v>0.05</v>
      </c>
      <c r="H20" s="72" t="s">
        <v>230</v>
      </c>
      <c r="I20" s="72" t="s">
        <v>172</v>
      </c>
      <c r="J20" s="74">
        <v>5</v>
      </c>
      <c r="K20" s="74">
        <f>Table146[[#This Row],[Unit Cost]]*Table146[[#This Row],[Quantity]]</f>
        <v>10</v>
      </c>
      <c r="L20" s="74">
        <v>0</v>
      </c>
      <c r="M20" s="74">
        <f>Table146[[#This Row],[Quantity]]*Z20-Table146[[#This Row],[STOCK]]</f>
        <v>0</v>
      </c>
      <c r="N20" s="74">
        <f>IF(Table146[[#This Row],[Interim Value2]]&lt;0,0,Table146[[#This Row],[Interim Value2]])</f>
        <v>0</v>
      </c>
      <c r="O20" s="105">
        <f>Table146[[#This Row],[STOCK]]*Table146[[#This Row],[Unit Cost]]</f>
        <v>0</v>
      </c>
      <c r="P20" s="11" t="s">
        <v>371</v>
      </c>
      <c r="Q20" s="11" t="s">
        <v>370</v>
      </c>
      <c r="Z20" s="1">
        <f>M1</f>
        <v>0</v>
      </c>
    </row>
    <row r="21" spans="1:26">
      <c r="A21" s="24">
        <v>16</v>
      </c>
      <c r="B21" s="84" t="s">
        <v>42</v>
      </c>
      <c r="C21" s="35">
        <v>1</v>
      </c>
      <c r="D21" s="36" t="s">
        <v>43</v>
      </c>
      <c r="E21" s="36" t="s">
        <v>246</v>
      </c>
      <c r="F21" s="36" t="s">
        <v>276</v>
      </c>
      <c r="G21" s="72"/>
      <c r="H21" s="36" t="s">
        <v>290</v>
      </c>
      <c r="I21" s="72" t="s">
        <v>293</v>
      </c>
      <c r="J21" s="74">
        <v>11.9</v>
      </c>
      <c r="K21" s="74">
        <f>Table146[[#This Row],[Unit Cost]]*Table146[[#This Row],[Quantity]]</f>
        <v>11.9</v>
      </c>
      <c r="L21" s="74">
        <v>0</v>
      </c>
      <c r="M21" s="74">
        <f>Table146[[#This Row],[Quantity]]*Z21-Table146[[#This Row],[STOCK]]</f>
        <v>0</v>
      </c>
      <c r="N21" s="74">
        <f>IF(Table146[[#This Row],[Interim Value2]]&lt;0,0,Table146[[#This Row],[Interim Value2]])</f>
        <v>0</v>
      </c>
      <c r="O21" s="105">
        <f>Table146[[#This Row],[STOCK]]*Table146[[#This Row],[Unit Cost]]</f>
        <v>0</v>
      </c>
      <c r="P21" s="11" t="s">
        <v>371</v>
      </c>
      <c r="Q21" s="11" t="s">
        <v>370</v>
      </c>
      <c r="Z21" s="1">
        <f>M1</f>
        <v>0</v>
      </c>
    </row>
    <row r="22" spans="1:26">
      <c r="A22" s="24">
        <v>17</v>
      </c>
      <c r="B22" s="72" t="s">
        <v>325</v>
      </c>
      <c r="C22" s="35">
        <v>2</v>
      </c>
      <c r="D22" s="36" t="s">
        <v>262</v>
      </c>
      <c r="E22" s="36" t="s">
        <v>374</v>
      </c>
      <c r="F22" s="36" t="s">
        <v>277</v>
      </c>
      <c r="G22" s="77"/>
      <c r="H22" s="36" t="s">
        <v>228</v>
      </c>
      <c r="I22" s="72" t="s">
        <v>292</v>
      </c>
      <c r="J22" s="74">
        <v>0.21</v>
      </c>
      <c r="K22" s="74">
        <f>Table146[[#This Row],[Unit Cost]]*Table146[[#This Row],[Quantity]]</f>
        <v>0.42</v>
      </c>
      <c r="L22" s="74">
        <v>0</v>
      </c>
      <c r="M22" s="74">
        <f>Table146[[#This Row],[Quantity]]*Z22-Table146[[#This Row],[STOCK]]</f>
        <v>0</v>
      </c>
      <c r="N22" s="74">
        <f>IF(Table146[[#This Row],[Interim Value2]]&lt;0,0,Table146[[#This Row],[Interim Value2]])</f>
        <v>0</v>
      </c>
      <c r="O22" s="105">
        <f>Table146[[#This Row],[STOCK]]*Table146[[#This Row],[Unit Cost]]</f>
        <v>0</v>
      </c>
      <c r="P22" s="11" t="s">
        <v>364</v>
      </c>
      <c r="Q22" s="11" t="s">
        <v>375</v>
      </c>
      <c r="Z22" s="1">
        <f>M1</f>
        <v>0</v>
      </c>
    </row>
    <row r="23" spans="1:26">
      <c r="A23" s="24">
        <v>18</v>
      </c>
      <c r="B23" s="72" t="s">
        <v>223</v>
      </c>
      <c r="C23" s="35">
        <v>1</v>
      </c>
      <c r="D23" s="36" t="s">
        <v>62</v>
      </c>
      <c r="E23" s="36" t="s">
        <v>66</v>
      </c>
      <c r="F23" s="36" t="s">
        <v>53</v>
      </c>
      <c r="G23" s="77">
        <v>0.05</v>
      </c>
      <c r="H23" s="36" t="s">
        <v>228</v>
      </c>
      <c r="I23" s="72" t="s">
        <v>292</v>
      </c>
      <c r="J23" s="74">
        <v>0.08</v>
      </c>
      <c r="K23" s="74">
        <f>Table146[[#This Row],[Unit Cost]]*Table146[[#This Row],[Quantity]]</f>
        <v>0.08</v>
      </c>
      <c r="L23" s="74">
        <v>15000</v>
      </c>
      <c r="M23" s="74">
        <f>Table146[[#This Row],[Quantity]]*Z23-Table146[[#This Row],[STOCK]]</f>
        <v>-15000</v>
      </c>
      <c r="N23" s="74">
        <f>IF(Table146[[#This Row],[Interim Value2]]&lt;0,0,Table146[[#This Row],[Interim Value2]])</f>
        <v>0</v>
      </c>
      <c r="O23" s="105">
        <f>Table146[[#This Row],[STOCK]]*Table146[[#This Row],[Unit Cost]]</f>
        <v>1200</v>
      </c>
      <c r="P23" s="11" t="s">
        <v>292</v>
      </c>
      <c r="Q23" s="11" t="s">
        <v>370</v>
      </c>
      <c r="Z23" s="1">
        <f>M1</f>
        <v>0</v>
      </c>
    </row>
    <row r="24" spans="1:26">
      <c r="A24" s="24">
        <v>19</v>
      </c>
      <c r="B24" s="72" t="s">
        <v>326</v>
      </c>
      <c r="C24" s="35">
        <v>1</v>
      </c>
      <c r="D24" s="36" t="s">
        <v>79</v>
      </c>
      <c r="E24" s="36" t="s">
        <v>247</v>
      </c>
      <c r="F24" s="36" t="s">
        <v>278</v>
      </c>
      <c r="G24" s="77">
        <v>0.05</v>
      </c>
      <c r="H24" s="36" t="s">
        <v>228</v>
      </c>
      <c r="I24" s="72" t="s">
        <v>292</v>
      </c>
      <c r="J24" s="74">
        <v>0.3</v>
      </c>
      <c r="K24" s="74">
        <f>Table146[[#This Row],[Unit Cost]]*Table146[[#This Row],[Quantity]]</f>
        <v>0.3</v>
      </c>
      <c r="L24" s="74">
        <v>0</v>
      </c>
      <c r="M24" s="74">
        <f>Table146[[#This Row],[Quantity]]*Z24-Table146[[#This Row],[STOCK]]</f>
        <v>0</v>
      </c>
      <c r="N24" s="74">
        <f>IF(Table146[[#This Row],[Interim Value2]]&lt;0,0,Table146[[#This Row],[Interim Value2]])</f>
        <v>0</v>
      </c>
      <c r="O24" s="105">
        <f>Table146[[#This Row],[STOCK]]*Table146[[#This Row],[Unit Cost]]</f>
        <v>0</v>
      </c>
      <c r="P24" s="11" t="s">
        <v>364</v>
      </c>
      <c r="Q24" s="11" t="s">
        <v>375</v>
      </c>
      <c r="Z24" s="1">
        <f>M1</f>
        <v>0</v>
      </c>
    </row>
    <row r="25" spans="1:26">
      <c r="A25" s="24">
        <v>20</v>
      </c>
      <c r="B25" s="72" t="s">
        <v>327</v>
      </c>
      <c r="C25" s="35">
        <v>1</v>
      </c>
      <c r="D25" s="36" t="s">
        <v>59</v>
      </c>
      <c r="E25" s="36" t="s">
        <v>248</v>
      </c>
      <c r="F25" s="36" t="s">
        <v>53</v>
      </c>
      <c r="G25" s="77">
        <v>0.05</v>
      </c>
      <c r="H25" s="36" t="s">
        <v>228</v>
      </c>
      <c r="I25" s="72" t="s">
        <v>292</v>
      </c>
      <c r="J25" s="74">
        <v>0.08</v>
      </c>
      <c r="K25" s="74">
        <f>Table146[[#This Row],[Unit Cost]]*Table146[[#This Row],[Quantity]]</f>
        <v>0.08</v>
      </c>
      <c r="L25" s="74">
        <v>15000</v>
      </c>
      <c r="M25" s="74">
        <f>Table146[[#This Row],[Quantity]]*Z25-Table146[[#This Row],[STOCK]]</f>
        <v>-15000</v>
      </c>
      <c r="N25" s="74">
        <f>IF(Table146[[#This Row],[Interim Value2]]&lt;0,0,Table146[[#This Row],[Interim Value2]])</f>
        <v>0</v>
      </c>
      <c r="O25" s="105">
        <f>Table146[[#This Row],[STOCK]]*Table146[[#This Row],[Unit Cost]]</f>
        <v>1200</v>
      </c>
      <c r="P25" s="11" t="s">
        <v>292</v>
      </c>
      <c r="Q25" s="11" t="s">
        <v>370</v>
      </c>
      <c r="Z25" s="1">
        <f>M1</f>
        <v>0</v>
      </c>
    </row>
    <row r="26" spans="1:26">
      <c r="A26" s="24">
        <v>21</v>
      </c>
      <c r="B26" s="72" t="s">
        <v>338</v>
      </c>
      <c r="C26" s="35">
        <v>1</v>
      </c>
      <c r="D26" s="36" t="s">
        <v>70</v>
      </c>
      <c r="E26" s="36" t="s">
        <v>249</v>
      </c>
      <c r="F26" s="36" t="s">
        <v>53</v>
      </c>
      <c r="G26" s="77">
        <v>0.01</v>
      </c>
      <c r="H26" s="36" t="s">
        <v>228</v>
      </c>
      <c r="I26" s="72" t="s">
        <v>292</v>
      </c>
      <c r="J26" s="74">
        <v>0.08</v>
      </c>
      <c r="K26" s="74">
        <f>Table146[[#This Row],[Unit Cost]]*Table146[[#This Row],[Quantity]]</f>
        <v>0.08</v>
      </c>
      <c r="L26" s="74">
        <v>0</v>
      </c>
      <c r="M26" s="74">
        <f>Table146[[#This Row],[Quantity]]*Z26-Table146[[#This Row],[STOCK]]</f>
        <v>0</v>
      </c>
      <c r="N26" s="74">
        <f>IF(Table146[[#This Row],[Interim Value2]]&lt;0,0,Table146[[#This Row],[Interim Value2]])</f>
        <v>0</v>
      </c>
      <c r="O26" s="105">
        <f>Table146[[#This Row],[STOCK]]*Table146[[#This Row],[Unit Cost]]</f>
        <v>0</v>
      </c>
      <c r="P26" s="11" t="s">
        <v>292</v>
      </c>
      <c r="Q26" s="11" t="s">
        <v>370</v>
      </c>
      <c r="Z26" s="1">
        <f>M1</f>
        <v>0</v>
      </c>
    </row>
    <row r="27" spans="1:26">
      <c r="A27" s="24">
        <v>22</v>
      </c>
      <c r="B27" s="72" t="s">
        <v>331</v>
      </c>
      <c r="C27" s="35">
        <v>1</v>
      </c>
      <c r="D27" s="36" t="s">
        <v>73</v>
      </c>
      <c r="E27" s="36" t="s">
        <v>76</v>
      </c>
      <c r="F27" s="36" t="s">
        <v>53</v>
      </c>
      <c r="G27" s="77">
        <v>0.01</v>
      </c>
      <c r="H27" s="36" t="s">
        <v>228</v>
      </c>
      <c r="I27" s="72" t="s">
        <v>292</v>
      </c>
      <c r="J27" s="74">
        <v>0.1</v>
      </c>
      <c r="K27" s="74">
        <f>Table146[[#This Row],[Unit Cost]]*Table146[[#This Row],[Quantity]]</f>
        <v>0.1</v>
      </c>
      <c r="L27" s="74">
        <v>0</v>
      </c>
      <c r="M27" s="74">
        <f>Table146[[#This Row],[Quantity]]*Z27-Table146[[#This Row],[STOCK]]</f>
        <v>0</v>
      </c>
      <c r="N27" s="74">
        <f>IF(Table146[[#This Row],[Interim Value2]]&lt;0,0,Table146[[#This Row],[Interim Value2]])</f>
        <v>0</v>
      </c>
      <c r="O27" s="105">
        <f>Table146[[#This Row],[STOCK]]*Table146[[#This Row],[Unit Cost]]</f>
        <v>0</v>
      </c>
      <c r="P27" s="11" t="s">
        <v>292</v>
      </c>
      <c r="Q27" s="11" t="s">
        <v>370</v>
      </c>
      <c r="Z27" s="1">
        <f>M1</f>
        <v>0</v>
      </c>
    </row>
    <row r="28" spans="1:26">
      <c r="A28" s="24">
        <v>23</v>
      </c>
      <c r="B28" s="72" t="s">
        <v>339</v>
      </c>
      <c r="C28" s="35">
        <v>1</v>
      </c>
      <c r="D28" s="36" t="s">
        <v>182</v>
      </c>
      <c r="E28" s="36" t="s">
        <v>247</v>
      </c>
      <c r="F28" s="36" t="s">
        <v>53</v>
      </c>
      <c r="G28" s="77">
        <v>0.01</v>
      </c>
      <c r="H28" s="36" t="s">
        <v>228</v>
      </c>
      <c r="I28" s="72" t="s">
        <v>292</v>
      </c>
      <c r="J28" s="74">
        <v>0.1</v>
      </c>
      <c r="K28" s="74">
        <f>Table146[[#This Row],[Unit Cost]]*Table146[[#This Row],[Quantity]]</f>
        <v>0.1</v>
      </c>
      <c r="L28" s="74">
        <v>0</v>
      </c>
      <c r="M28" s="74">
        <f>Table146[[#This Row],[Quantity]]*Z28-Table146[[#This Row],[STOCK]]</f>
        <v>0</v>
      </c>
      <c r="N28" s="74">
        <f>IF(Table146[[#This Row],[Interim Value2]]&lt;0,0,Table146[[#This Row],[Interim Value2]])</f>
        <v>0</v>
      </c>
      <c r="O28" s="105">
        <f>Table146[[#This Row],[STOCK]]*Table146[[#This Row],[Unit Cost]]</f>
        <v>0</v>
      </c>
      <c r="P28" s="11" t="s">
        <v>292</v>
      </c>
      <c r="Q28" s="11" t="s">
        <v>370</v>
      </c>
      <c r="Z28" s="1">
        <f>M1</f>
        <v>0</v>
      </c>
    </row>
    <row r="29" spans="1:26">
      <c r="A29" s="24">
        <v>24</v>
      </c>
      <c r="B29" s="72" t="s">
        <v>331</v>
      </c>
      <c r="C29" s="35">
        <v>1</v>
      </c>
      <c r="D29" s="36" t="s">
        <v>55</v>
      </c>
      <c r="E29" s="36" t="s">
        <v>76</v>
      </c>
      <c r="F29" s="36" t="s">
        <v>53</v>
      </c>
      <c r="G29" s="77">
        <v>0.05</v>
      </c>
      <c r="H29" s="36" t="s">
        <v>228</v>
      </c>
      <c r="I29" s="72" t="s">
        <v>292</v>
      </c>
      <c r="J29" s="74">
        <v>0.08</v>
      </c>
      <c r="K29" s="74">
        <f>Table146[[#This Row],[Unit Cost]]*Table146[[#This Row],[Quantity]]</f>
        <v>0.08</v>
      </c>
      <c r="L29" s="74">
        <v>0</v>
      </c>
      <c r="M29" s="74">
        <f>Table146[[#This Row],[Quantity]]*Z29-Table146[[#This Row],[STOCK]]</f>
        <v>0</v>
      </c>
      <c r="N29" s="74">
        <f>IF(Table146[[#This Row],[Interim Value2]]&lt;0,0,Table146[[#This Row],[Interim Value2]])</f>
        <v>0</v>
      </c>
      <c r="O29" s="105">
        <f>Table146[[#This Row],[STOCK]]*Table146[[#This Row],[Unit Cost]]</f>
        <v>0</v>
      </c>
      <c r="P29" s="11" t="s">
        <v>292</v>
      </c>
      <c r="Q29" s="11" t="s">
        <v>370</v>
      </c>
      <c r="Z29" s="1">
        <f>M1</f>
        <v>0</v>
      </c>
    </row>
    <row r="30" spans="1:26">
      <c r="A30" s="24">
        <v>25</v>
      </c>
      <c r="B30" s="72" t="s">
        <v>340</v>
      </c>
      <c r="C30" s="35">
        <v>1</v>
      </c>
      <c r="D30" s="36" t="s">
        <v>65</v>
      </c>
      <c r="E30" s="36" t="s">
        <v>250</v>
      </c>
      <c r="F30" s="36" t="s">
        <v>53</v>
      </c>
      <c r="G30" s="77">
        <v>0.01</v>
      </c>
      <c r="H30" s="36" t="s">
        <v>228</v>
      </c>
      <c r="I30" s="72" t="s">
        <v>292</v>
      </c>
      <c r="J30" s="74">
        <v>0.14000000000000001</v>
      </c>
      <c r="K30" s="74">
        <f>Table146[[#This Row],[Unit Cost]]*Table146[[#This Row],[Quantity]]</f>
        <v>0.14000000000000001</v>
      </c>
      <c r="L30" s="74">
        <v>5000</v>
      </c>
      <c r="M30" s="74">
        <f>Table146[[#This Row],[Quantity]]*Z30-Table146[[#This Row],[STOCK]]</f>
        <v>-5000</v>
      </c>
      <c r="N30" s="74">
        <f>IF(Table146[[#This Row],[Interim Value2]]&lt;0,0,Table146[[#This Row],[Interim Value2]])</f>
        <v>0</v>
      </c>
      <c r="O30" s="105">
        <f>Table146[[#This Row],[STOCK]]*Table146[[#This Row],[Unit Cost]]</f>
        <v>700.00000000000011</v>
      </c>
      <c r="P30" s="11" t="s">
        <v>292</v>
      </c>
      <c r="Q30" s="11" t="s">
        <v>370</v>
      </c>
      <c r="Z30" s="1">
        <f>M1</f>
        <v>0</v>
      </c>
    </row>
    <row r="31" spans="1:26">
      <c r="A31" s="24">
        <v>26</v>
      </c>
      <c r="B31" s="72" t="s">
        <v>340</v>
      </c>
      <c r="C31" s="35">
        <v>1</v>
      </c>
      <c r="D31" s="36" t="s">
        <v>263</v>
      </c>
      <c r="E31" s="36" t="s">
        <v>250</v>
      </c>
      <c r="F31" s="36" t="s">
        <v>53</v>
      </c>
      <c r="G31" s="77">
        <v>0.01</v>
      </c>
      <c r="H31" s="36" t="s">
        <v>228</v>
      </c>
      <c r="I31" s="72" t="s">
        <v>292</v>
      </c>
      <c r="J31" s="74">
        <v>0.14000000000000001</v>
      </c>
      <c r="K31" s="74">
        <f>Table146[[#This Row],[Unit Cost]]*Table146[[#This Row],[Quantity]]</f>
        <v>0.14000000000000001</v>
      </c>
      <c r="L31" s="74">
        <v>0</v>
      </c>
      <c r="M31" s="74">
        <f>Table146[[#This Row],[Quantity]]*Z31-Table146[[#This Row],[STOCK]]</f>
        <v>0</v>
      </c>
      <c r="N31" s="74">
        <f>IF(Table146[[#This Row],[Interim Value2]]&lt;0,0,Table146[[#This Row],[Interim Value2]])</f>
        <v>0</v>
      </c>
      <c r="O31" s="105">
        <f>Table146[[#This Row],[STOCK]]*Table146[[#This Row],[Unit Cost]]</f>
        <v>0</v>
      </c>
      <c r="P31" s="11" t="s">
        <v>292</v>
      </c>
      <c r="Q31" s="11" t="s">
        <v>370</v>
      </c>
      <c r="Z31" s="1">
        <f>M1</f>
        <v>0</v>
      </c>
    </row>
    <row r="32" spans="1:26">
      <c r="A32" s="24">
        <v>27</v>
      </c>
      <c r="B32" s="11"/>
      <c r="C32" s="35">
        <v>1</v>
      </c>
      <c r="D32" s="36" t="s">
        <v>68</v>
      </c>
      <c r="E32" s="36" t="s">
        <v>98</v>
      </c>
      <c r="F32" s="36" t="s">
        <v>53</v>
      </c>
      <c r="G32" s="77">
        <v>0.01</v>
      </c>
      <c r="H32" s="36" t="s">
        <v>228</v>
      </c>
      <c r="I32" s="72"/>
      <c r="J32" s="74"/>
      <c r="K32" s="74">
        <f>Table146[[#This Row],[Unit Cost]]*Table146[[#This Row],[Quantity]]</f>
        <v>0</v>
      </c>
      <c r="L32" s="74">
        <v>0</v>
      </c>
      <c r="M32" s="74">
        <f>Table146[[#This Row],[Quantity]]*Z32-Table146[[#This Row],[STOCK]]</f>
        <v>0</v>
      </c>
      <c r="N32" s="74">
        <f>IF(Table146[[#This Row],[Interim Value2]]&lt;0,0,Table146[[#This Row],[Interim Value2]])</f>
        <v>0</v>
      </c>
      <c r="O32" s="105">
        <f>Table146[[#This Row],[STOCK]]*Table146[[#This Row],[Unit Cost]]</f>
        <v>0</v>
      </c>
      <c r="P32" s="11" t="s">
        <v>292</v>
      </c>
      <c r="Q32" s="11" t="s">
        <v>370</v>
      </c>
      <c r="Z32" s="1">
        <f>M1</f>
        <v>0</v>
      </c>
    </row>
    <row r="33" spans="1:26">
      <c r="A33" s="24">
        <v>28</v>
      </c>
      <c r="B33" s="72" t="s">
        <v>341</v>
      </c>
      <c r="C33" s="35">
        <v>1</v>
      </c>
      <c r="D33" s="36" t="s">
        <v>264</v>
      </c>
      <c r="E33" s="36" t="s">
        <v>251</v>
      </c>
      <c r="F33" s="36" t="s">
        <v>279</v>
      </c>
      <c r="G33" s="77">
        <v>0.05</v>
      </c>
      <c r="H33" s="36" t="s">
        <v>291</v>
      </c>
      <c r="I33" s="72" t="s">
        <v>172</v>
      </c>
      <c r="J33" s="74">
        <v>16</v>
      </c>
      <c r="K33" s="74">
        <f>Table146[[#This Row],[Unit Cost]]*Table146[[#This Row],[Quantity]]</f>
        <v>16</v>
      </c>
      <c r="L33" s="74">
        <v>2863</v>
      </c>
      <c r="M33" s="74">
        <f>Table146[[#This Row],[Quantity]]*Z33-Table146[[#This Row],[STOCK]]</f>
        <v>-2863</v>
      </c>
      <c r="N33" s="74">
        <f>IF(Table146[[#This Row],[Interim Value2]]&lt;0,0,Table146[[#This Row],[Interim Value2]])</f>
        <v>0</v>
      </c>
      <c r="O33" s="105">
        <f>Table146[[#This Row],[STOCK]]*Table146[[#This Row],[Unit Cost]]</f>
        <v>45808</v>
      </c>
      <c r="P33" s="11" t="s">
        <v>172</v>
      </c>
      <c r="Q33" s="11" t="s">
        <v>366</v>
      </c>
      <c r="Z33" s="1">
        <f>M1</f>
        <v>0</v>
      </c>
    </row>
    <row r="34" spans="1:26">
      <c r="A34" s="24">
        <v>29</v>
      </c>
      <c r="B34" s="11" t="s">
        <v>333</v>
      </c>
      <c r="C34" s="35">
        <v>1</v>
      </c>
      <c r="D34" s="36" t="s">
        <v>84</v>
      </c>
      <c r="E34" s="36" t="s">
        <v>252</v>
      </c>
      <c r="F34" s="36" t="s">
        <v>280</v>
      </c>
      <c r="G34" s="6"/>
      <c r="H34" s="4" t="s">
        <v>230</v>
      </c>
      <c r="I34" s="6" t="s">
        <v>185</v>
      </c>
      <c r="J34" s="74">
        <v>20</v>
      </c>
      <c r="K34" s="74">
        <f>Table146[[#This Row],[Unit Cost]]*Table146[[#This Row],[Quantity]]</f>
        <v>20</v>
      </c>
      <c r="L34" s="74">
        <v>6358</v>
      </c>
      <c r="M34" s="74">
        <f>Table146[[#This Row],[Quantity]]*Z34-Table146[[#This Row],[STOCK]]</f>
        <v>-6358</v>
      </c>
      <c r="N34" s="74">
        <f>IF(Table146[[#This Row],[Interim Value2]]&lt;0,0,Table146[[#This Row],[Interim Value2]])</f>
        <v>0</v>
      </c>
      <c r="O34" s="105">
        <f>Table146[[#This Row],[STOCK]]*Table146[[#This Row],[Unit Cost]]</f>
        <v>127160</v>
      </c>
      <c r="P34" s="11" t="s">
        <v>185</v>
      </c>
      <c r="Q34" s="11" t="s">
        <v>367</v>
      </c>
      <c r="Z34" s="1">
        <f>M1</f>
        <v>0</v>
      </c>
    </row>
    <row r="35" spans="1:26">
      <c r="A35" s="24">
        <v>30</v>
      </c>
      <c r="B35" s="72" t="s">
        <v>334</v>
      </c>
      <c r="C35" s="72">
        <v>1</v>
      </c>
      <c r="D35" s="72"/>
      <c r="E35" s="72" t="s">
        <v>253</v>
      </c>
      <c r="F35" s="72" t="s">
        <v>281</v>
      </c>
      <c r="G35" s="6"/>
      <c r="H35" s="5"/>
      <c r="I35" s="6" t="s">
        <v>234</v>
      </c>
      <c r="J35" s="74">
        <v>8.4</v>
      </c>
      <c r="K35" s="74">
        <f>Table146[[#This Row],[Unit Cost]]*Table146[[#This Row],[Quantity]]</f>
        <v>8.4</v>
      </c>
      <c r="L35" s="74">
        <v>0</v>
      </c>
      <c r="M35" s="74">
        <f>Table146[[#This Row],[Quantity]]*Z35-Table146[[#This Row],[STOCK]]</f>
        <v>0</v>
      </c>
      <c r="N35" s="74">
        <f>IF(Table146[[#This Row],[Interim Value2]]&lt;0,0,Table146[[#This Row],[Interim Value2]])</f>
        <v>0</v>
      </c>
      <c r="O35" s="105">
        <f>Table146[[#This Row],[STOCK]]*Table146[[#This Row],[Unit Cost]]</f>
        <v>0</v>
      </c>
      <c r="P35" s="11" t="s">
        <v>376</v>
      </c>
      <c r="Q35" s="11" t="s">
        <v>370</v>
      </c>
      <c r="Z35" s="1">
        <f>M1</f>
        <v>0</v>
      </c>
    </row>
    <row r="36" spans="1:26">
      <c r="A36" s="24">
        <v>31</v>
      </c>
      <c r="B36" s="84" t="s">
        <v>335</v>
      </c>
      <c r="C36" s="3">
        <v>1</v>
      </c>
      <c r="D36" s="4" t="s">
        <v>254</v>
      </c>
      <c r="E36" s="4" t="s">
        <v>254</v>
      </c>
      <c r="F36" s="6"/>
      <c r="G36" s="6"/>
      <c r="H36" s="5"/>
      <c r="I36" s="6" t="s">
        <v>294</v>
      </c>
      <c r="J36" s="74">
        <v>2.75</v>
      </c>
      <c r="K36" s="74">
        <f>Table146[[#This Row],[Unit Cost]]*Table146[[#This Row],[Quantity]]</f>
        <v>2.75</v>
      </c>
      <c r="L36" s="74">
        <v>0</v>
      </c>
      <c r="M36" s="74">
        <f>Table146[[#This Row],[Quantity]]*Z36-Table146[[#This Row],[STOCK]]</f>
        <v>0</v>
      </c>
      <c r="N36" s="74">
        <f>IF(Table146[[#This Row],[Interim Value2]]&lt;0,0,Table146[[#This Row],[Interim Value2]])</f>
        <v>0</v>
      </c>
      <c r="O36" s="105">
        <f>Table146[[#This Row],[STOCK]]*Table146[[#This Row],[Unit Cost]]</f>
        <v>0</v>
      </c>
      <c r="P36" s="11" t="s">
        <v>377</v>
      </c>
      <c r="Q36" s="11" t="s">
        <v>370</v>
      </c>
      <c r="Z36" s="1">
        <f>M1</f>
        <v>0</v>
      </c>
    </row>
    <row r="37" spans="1:26">
      <c r="A37" s="24">
        <v>33</v>
      </c>
      <c r="B37" s="72" t="s">
        <v>353</v>
      </c>
      <c r="C37" s="40">
        <v>1</v>
      </c>
      <c r="D37" s="41"/>
      <c r="E37" s="165" t="s">
        <v>396</v>
      </c>
      <c r="F37" s="4" t="s">
        <v>397</v>
      </c>
      <c r="G37" s="39"/>
      <c r="H37" s="39"/>
      <c r="I37" s="39"/>
      <c r="J37" s="82">
        <v>1</v>
      </c>
      <c r="K37" s="82">
        <f>Table146[[#This Row],[Unit Cost]]*Table146[[#This Row],[Quantity]]</f>
        <v>1</v>
      </c>
      <c r="L37" s="82">
        <v>0</v>
      </c>
      <c r="M37" s="82">
        <f>Table146[[#This Row],[Quantity]]*Z37-Table146[[#This Row],[STOCK]]</f>
        <v>0</v>
      </c>
      <c r="N37" s="82">
        <f>IF(Table146[[#This Row],[Interim Value2]]&lt;0,0,Table146[[#This Row],[Interim Value2]])</f>
        <v>0</v>
      </c>
      <c r="O37" s="105">
        <f>Table146[[#This Row],[STOCK]]*Table146[[#This Row],[Unit Cost]]</f>
        <v>0</v>
      </c>
      <c r="P37" s="11" t="s">
        <v>378</v>
      </c>
      <c r="Q37" s="11" t="s">
        <v>367</v>
      </c>
      <c r="Z37" s="1">
        <f>M1</f>
        <v>0</v>
      </c>
    </row>
    <row r="38" spans="1:26">
      <c r="A38" s="24">
        <v>34</v>
      </c>
      <c r="B38" s="6" t="s">
        <v>352</v>
      </c>
      <c r="C38" s="40">
        <v>1</v>
      </c>
      <c r="D38" s="41"/>
      <c r="E38" s="92" t="s">
        <v>395</v>
      </c>
      <c r="F38" s="164" t="s">
        <v>394</v>
      </c>
      <c r="G38" s="39"/>
      <c r="H38" s="164"/>
      <c r="I38" s="39" t="s">
        <v>315</v>
      </c>
      <c r="J38" s="82">
        <v>9</v>
      </c>
      <c r="K38" s="82">
        <f>Table146[[#This Row],[Unit Cost]]*Table146[[#This Row],[Quantity]]</f>
        <v>9</v>
      </c>
      <c r="L38" s="82">
        <v>500</v>
      </c>
      <c r="M38" s="82">
        <f>Table146[[#This Row],[Quantity]]*Z38-Table146[[#This Row],[STOCK]]</f>
        <v>-500</v>
      </c>
      <c r="N38" s="82">
        <f>IF(Table146[[#This Row],[Interim Value2]]&lt;0,0,Table146[[#This Row],[Interim Value2]])</f>
        <v>0</v>
      </c>
      <c r="O38" s="105">
        <f>Table146[[#This Row],[STOCK]]*Table146[[#This Row],[Unit Cost]]</f>
        <v>4500</v>
      </c>
      <c r="P38" s="11" t="s">
        <v>379</v>
      </c>
      <c r="Q38" s="11" t="s">
        <v>380</v>
      </c>
      <c r="Z38" s="1">
        <f>M1</f>
        <v>0</v>
      </c>
    </row>
    <row r="39" spans="1:26">
      <c r="A39" s="24">
        <v>35</v>
      </c>
      <c r="B39" s="72" t="s">
        <v>336</v>
      </c>
      <c r="C39" s="40">
        <v>3</v>
      </c>
      <c r="D39" s="41"/>
      <c r="E39" s="92" t="s">
        <v>355</v>
      </c>
      <c r="F39" s="11" t="s">
        <v>354</v>
      </c>
      <c r="G39" s="39"/>
      <c r="H39" s="39"/>
      <c r="I39" s="39" t="s">
        <v>316</v>
      </c>
      <c r="J39" s="82">
        <v>0.5</v>
      </c>
      <c r="K39" s="82">
        <f>Table146[[#This Row],[Unit Cost]]*Table146[[#This Row],[Quantity]]</f>
        <v>1.5</v>
      </c>
      <c r="L39" s="82">
        <v>0</v>
      </c>
      <c r="M39" s="82">
        <f>Table146[[#This Row],[Quantity]]*Z39-Table146[[#This Row],[STOCK]]</f>
        <v>0</v>
      </c>
      <c r="N39" s="82">
        <f>IF(Table146[[#This Row],[Interim Value2]]&lt;0,0,Table146[[#This Row],[Interim Value2]])</f>
        <v>0</v>
      </c>
      <c r="O39" s="105">
        <f>Table146[[#This Row],[STOCK]]*Table146[[#This Row],[Unit Cost]]</f>
        <v>0</v>
      </c>
      <c r="P39" s="11" t="s">
        <v>381</v>
      </c>
      <c r="Q39" s="11" t="s">
        <v>373</v>
      </c>
      <c r="Z39" s="1">
        <f>M1</f>
        <v>0</v>
      </c>
    </row>
    <row r="40" spans="1:26">
      <c r="A40" s="42">
        <v>36</v>
      </c>
      <c r="B40" s="72" t="s">
        <v>337</v>
      </c>
      <c r="C40" s="44">
        <v>1</v>
      </c>
      <c r="D40" s="45"/>
      <c r="E40" s="92" t="s">
        <v>356</v>
      </c>
      <c r="F40" s="26" t="s">
        <v>354</v>
      </c>
      <c r="G40" s="43"/>
      <c r="H40" s="43"/>
      <c r="I40" s="43" t="s">
        <v>316</v>
      </c>
      <c r="J40" s="55">
        <v>0.5</v>
      </c>
      <c r="K40" s="55">
        <f>Table146[[#This Row],[Unit Cost]]*Table146[[#This Row],[Quantity]]</f>
        <v>0.5</v>
      </c>
      <c r="L40" s="55">
        <v>0</v>
      </c>
      <c r="M40" s="55">
        <f>Table146[[#This Row],[Quantity]]*Z40-Table146[[#This Row],[STOCK]]</f>
        <v>0</v>
      </c>
      <c r="N40" s="55">
        <f>IF(Table146[[#This Row],[Interim Value2]]&lt;0,0,Table146[[#This Row],[Interim Value2]])</f>
        <v>0</v>
      </c>
      <c r="O40" s="105">
        <f>Table146[[#This Row],[STOCK]]*Table146[[#This Row],[Unit Cost]]</f>
        <v>0</v>
      </c>
      <c r="P40" s="11" t="s">
        <v>381</v>
      </c>
      <c r="Q40" s="11" t="s">
        <v>373</v>
      </c>
      <c r="Z40" s="1">
        <f>M1</f>
        <v>0</v>
      </c>
    </row>
    <row r="41" spans="1:26">
      <c r="A41" s="25">
        <v>37</v>
      </c>
      <c r="B41" s="72" t="s">
        <v>351</v>
      </c>
      <c r="C41" s="93">
        <v>1</v>
      </c>
      <c r="D41" s="94"/>
      <c r="E41" s="92" t="s">
        <v>350</v>
      </c>
      <c r="F41" s="26"/>
      <c r="G41" s="26"/>
      <c r="H41" s="26"/>
      <c r="I41" s="26"/>
      <c r="J41" s="72">
        <v>1.25</v>
      </c>
      <c r="K41" s="231">
        <f>Table146[[#This Row],[Unit Cost]]*Table146[[#This Row],[Quantity]]</f>
        <v>1.25</v>
      </c>
      <c r="L41" s="148">
        <v>0</v>
      </c>
      <c r="M41" s="231">
        <f>Table146[[#This Row],[Quantity]]*Z41-Table146[[#This Row],[STOCK]]</f>
        <v>0</v>
      </c>
      <c r="N41" s="231">
        <f>IF(Table146[[#This Row],[Interim Value2]]&lt;0,0,Table146[[#This Row],[Interim Value2]])</f>
        <v>0</v>
      </c>
      <c r="O41" s="105">
        <f>Table146[[#This Row],[STOCK]]*Table146[[#This Row],[Unit Cost]]</f>
        <v>0</v>
      </c>
      <c r="P41" s="11"/>
      <c r="Q41" s="11" t="s">
        <v>367</v>
      </c>
      <c r="Z41" s="1">
        <f>M1</f>
        <v>0</v>
      </c>
    </row>
    <row r="42" spans="1:26">
      <c r="A42" s="25">
        <v>38</v>
      </c>
      <c r="B42" s="72" t="s">
        <v>349</v>
      </c>
      <c r="C42" s="93">
        <v>1</v>
      </c>
      <c r="D42" s="94"/>
      <c r="E42" s="92" t="s">
        <v>348</v>
      </c>
      <c r="F42" s="26"/>
      <c r="G42" s="26"/>
      <c r="H42" s="26"/>
      <c r="I42" s="26"/>
      <c r="J42" s="72">
        <v>0.3</v>
      </c>
      <c r="K42" s="231">
        <f>Table146[[#This Row],[Unit Cost]]*Table146[[#This Row],[Quantity]]</f>
        <v>0.3</v>
      </c>
      <c r="L42" s="148">
        <v>0</v>
      </c>
      <c r="M42" s="231">
        <f>Table146[[#This Row],[Quantity]]*Z42-Table146[[#This Row],[STOCK]]</f>
        <v>0</v>
      </c>
      <c r="N42" s="231">
        <f>IF(Table146[[#This Row],[Interim Value2]]&lt;0,0,Table146[[#This Row],[Interim Value2]])</f>
        <v>0</v>
      </c>
      <c r="O42" s="105">
        <f>Table146[[#This Row],[STOCK]]*Table146[[#This Row],[Unit Cost]]</f>
        <v>0</v>
      </c>
      <c r="P42" s="11"/>
      <c r="Q42" s="11" t="s">
        <v>367</v>
      </c>
      <c r="Z42" s="1">
        <f>M1</f>
        <v>0</v>
      </c>
    </row>
    <row r="43" spans="1:26">
      <c r="A43" s="25">
        <v>39</v>
      </c>
      <c r="B43" s="26"/>
      <c r="C43" s="93">
        <v>1</v>
      </c>
      <c r="D43" s="94"/>
      <c r="E43" s="209" t="s">
        <v>196</v>
      </c>
      <c r="F43" s="26"/>
      <c r="G43" s="26"/>
      <c r="H43" s="26"/>
      <c r="I43" s="26" t="s">
        <v>477</v>
      </c>
      <c r="J43" s="106">
        <v>12</v>
      </c>
      <c r="K43" s="106">
        <f>Table146[[#This Row],[Unit Cost]]*Table146[[#This Row],[Quantity]]</f>
        <v>12</v>
      </c>
      <c r="L43" s="106"/>
      <c r="M43" s="106">
        <f>Table146[[#This Row],[Quantity]]*Z43-Table146[[#This Row],[STOCK]]</f>
        <v>0</v>
      </c>
      <c r="N43" s="106">
        <f>IF(Table146[[#This Row],[Interim Value2]]&lt;0,0,Table146[[#This Row],[Interim Value2]])</f>
        <v>0</v>
      </c>
      <c r="O43" s="105">
        <f>Table146[[#This Row],[STOCK]]*Table146[[#This Row],[Unit Cost]]</f>
        <v>0</v>
      </c>
      <c r="P43" s="233"/>
      <c r="Q43" s="11" t="s">
        <v>370</v>
      </c>
      <c r="Z43" s="1">
        <f>M1</f>
        <v>0</v>
      </c>
    </row>
    <row r="44" spans="1:26">
      <c r="A44" s="361" t="s">
        <v>189</v>
      </c>
      <c r="B44" s="361"/>
      <c r="C44" s="361"/>
      <c r="D44" s="361"/>
      <c r="E44" s="361"/>
      <c r="F44" s="361"/>
      <c r="G44" s="361"/>
      <c r="H44" s="361"/>
      <c r="I44" s="361"/>
      <c r="J44" s="361"/>
      <c r="K44" s="104">
        <f>SUBTOTAL(109,Table146[Total])</f>
        <v>124.33</v>
      </c>
      <c r="L44" s="104"/>
      <c r="M44" s="339"/>
      <c r="N44" s="339"/>
      <c r="O44" s="107">
        <f>SUM(Table146[PRICE])</f>
        <v>336918.25</v>
      </c>
    </row>
    <row r="47" spans="1:26" ht="15.75" thickBot="1"/>
    <row r="48" spans="1:26">
      <c r="B48" s="249" t="s">
        <v>509</v>
      </c>
      <c r="C48" s="255">
        <f>K42+K41+K37+K34</f>
        <v>22.55</v>
      </c>
      <c r="E48" s="249" t="s">
        <v>509</v>
      </c>
      <c r="F48" s="255">
        <f t="shared" ref="F48" si="0">N42+N41+N37+N34</f>
        <v>0</v>
      </c>
      <c r="G48" s="249" t="s">
        <v>509</v>
      </c>
      <c r="H48" s="255" t="e">
        <f t="shared" ref="H48" si="1">P42+P41+P37+P34</f>
        <v>#VALUE!</v>
      </c>
      <c r="I48" s="249" t="s">
        <v>509</v>
      </c>
      <c r="J48" s="255">
        <f>O42+O41+O37+O34</f>
        <v>127160</v>
      </c>
    </row>
    <row r="49" spans="2:10">
      <c r="B49" s="250" t="s">
        <v>492</v>
      </c>
      <c r="C49" s="251">
        <v>0</v>
      </c>
      <c r="E49" s="250" t="s">
        <v>492</v>
      </c>
      <c r="F49" s="251">
        <v>0</v>
      </c>
      <c r="G49" s="250" t="s">
        <v>492</v>
      </c>
      <c r="H49" s="251">
        <v>0</v>
      </c>
      <c r="I49" s="250" t="s">
        <v>492</v>
      </c>
      <c r="J49" s="251">
        <v>0</v>
      </c>
    </row>
    <row r="50" spans="2:10">
      <c r="B50" s="250" t="s">
        <v>493</v>
      </c>
      <c r="C50" s="253">
        <f>K38</f>
        <v>9</v>
      </c>
      <c r="E50" s="250" t="s">
        <v>493</v>
      </c>
      <c r="F50" s="253">
        <f t="shared" ref="F50" si="2">N38</f>
        <v>0</v>
      </c>
      <c r="G50" s="250" t="s">
        <v>493</v>
      </c>
      <c r="H50" s="253" t="str">
        <f t="shared" ref="H50" si="3">P38</f>
        <v>VANSH ELECTRO</v>
      </c>
      <c r="I50" s="250" t="s">
        <v>493</v>
      </c>
      <c r="J50" s="253">
        <f>O38</f>
        <v>4500</v>
      </c>
    </row>
    <row r="51" spans="2:10">
      <c r="B51" s="250" t="s">
        <v>490</v>
      </c>
      <c r="C51" s="253">
        <f>K40+K39+K12+K11+K9</f>
        <v>6.32</v>
      </c>
      <c r="E51" s="250" t="s">
        <v>490</v>
      </c>
      <c r="F51" s="253">
        <f t="shared" ref="F51" si="4">N40+N39+N12+N11+N9</f>
        <v>0</v>
      </c>
      <c r="G51" s="250" t="s">
        <v>490</v>
      </c>
      <c r="H51" s="253" t="e">
        <f t="shared" ref="H51" si="5">P40+P39+P12+P11+P9</f>
        <v>#VALUE!</v>
      </c>
      <c r="I51" s="250" t="s">
        <v>490</v>
      </c>
      <c r="J51" s="253">
        <f>O40+O39+O12+O11+O9</f>
        <v>17400.25</v>
      </c>
    </row>
    <row r="52" spans="2:10">
      <c r="B52" s="250" t="s">
        <v>494</v>
      </c>
      <c r="C52" s="253">
        <f>K43+K36+K35+K31+K30+K29+K28+K27+K26+K25+K24+K23+K22+K21+K20+K19+K18+K17+K16+K15+K14+K13+K10+K8+K7+K6</f>
        <v>70.45999999999998</v>
      </c>
      <c r="E52" s="250" t="s">
        <v>494</v>
      </c>
      <c r="F52" s="253">
        <f t="shared" ref="F52" si="6">N43+N36+N35+N31+N30+N29+N28+N27+N26+N25+N24+N23+N22+N21+N20+N19+N18+N17+N16+N15+N14+N13+N10+N8+N7+N6</f>
        <v>0</v>
      </c>
      <c r="G52" s="250" t="s">
        <v>494</v>
      </c>
      <c r="H52" s="253" t="e">
        <f t="shared" ref="H52" si="7">P43+P36+P35+P31+P30+P29+P28+P27+P26+P25+P24+P23+P22+P21+P20+P19+P18+P17+P16+P15+P14+P13+P10+P8+P7+P6</f>
        <v>#VALUE!</v>
      </c>
      <c r="I52" s="250" t="s">
        <v>494</v>
      </c>
      <c r="J52" s="253">
        <f>O43+O36+O35+O31+O30+O29+O28+O27+O26+O25+O24+O23+O22+O21+O20+O19+O18+O17+O16+O15+O14+O13+O10+O8+O7+O6</f>
        <v>142050</v>
      </c>
    </row>
    <row r="53" spans="2:10" ht="15.75" thickBot="1">
      <c r="B53" s="252" t="s">
        <v>495</v>
      </c>
      <c r="C53" s="254">
        <f>K33</f>
        <v>16</v>
      </c>
      <c r="E53" s="252" t="s">
        <v>495</v>
      </c>
      <c r="F53" s="254">
        <f t="shared" ref="F53" si="8">N33</f>
        <v>0</v>
      </c>
      <c r="G53" s="252" t="s">
        <v>495</v>
      </c>
      <c r="H53" s="254" t="str">
        <f t="shared" ref="H53" si="9">P33</f>
        <v>METRONIX</v>
      </c>
      <c r="I53" s="252" t="s">
        <v>495</v>
      </c>
      <c r="J53" s="254">
        <f>O33</f>
        <v>45808</v>
      </c>
    </row>
    <row r="54" spans="2:10">
      <c r="C54" s="198">
        <f>SUM(C48:C53)</f>
        <v>124.32999999999998</v>
      </c>
      <c r="J54" s="198">
        <f>SUM(J48:J53)</f>
        <v>336918.25</v>
      </c>
    </row>
  </sheetData>
  <mergeCells count="6">
    <mergeCell ref="A1:B1"/>
    <mergeCell ref="C1:D1"/>
    <mergeCell ref="A3:O3"/>
    <mergeCell ref="A4:O4"/>
    <mergeCell ref="A44:J44"/>
    <mergeCell ref="E1:G1"/>
  </mergeCells>
  <pageMargins left="0.7" right="0.7" top="0.75" bottom="0.75" header="0.3" footer="0.3"/>
  <pageSetup scale="54" orientation="landscape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Z53"/>
  <sheetViews>
    <sheetView topLeftCell="A40" workbookViewId="0">
      <selection activeCell="K53" sqref="K53"/>
    </sheetView>
  </sheetViews>
  <sheetFormatPr defaultRowHeight="15"/>
  <cols>
    <col min="2" max="2" width="20.42578125" style="1" bestFit="1" customWidth="1"/>
    <col min="3" max="3" width="12.42578125" bestFit="1" customWidth="1"/>
    <col min="4" max="4" width="13.5703125" bestFit="1" customWidth="1"/>
    <col min="5" max="5" width="24.140625" bestFit="1" customWidth="1"/>
    <col min="6" max="6" width="38.28515625" hidden="1" customWidth="1"/>
    <col min="7" max="7" width="9.140625" hidden="1" customWidth="1"/>
    <col min="8" max="8" width="30.85546875" hidden="1" customWidth="1"/>
    <col min="9" max="9" width="24.28515625" hidden="1" customWidth="1"/>
    <col min="10" max="11" width="16.85546875" customWidth="1"/>
    <col min="12" max="12" width="10.5703125" bestFit="1" customWidth="1"/>
    <col min="13" max="13" width="17.28515625" bestFit="1" customWidth="1"/>
    <col min="14" max="14" width="18.140625" bestFit="1" customWidth="1"/>
    <col min="16" max="16" width="20.85546875" hidden="1" customWidth="1"/>
    <col min="17" max="17" width="19" hidden="1" customWidth="1"/>
    <col min="18" max="18" width="19.28515625" style="1" hidden="1" customWidth="1"/>
    <col min="19" max="19" width="11.5703125" style="1" hidden="1" customWidth="1"/>
    <col min="20" max="23" width="0" hidden="1" customWidth="1"/>
    <col min="26" max="26" width="9.140625" style="1"/>
  </cols>
  <sheetData>
    <row r="1" spans="1:26" ht="16.5" thickBot="1">
      <c r="A1" s="348" t="s">
        <v>138</v>
      </c>
      <c r="B1" s="348"/>
      <c r="C1" s="349" t="s">
        <v>466</v>
      </c>
      <c r="D1" s="349"/>
      <c r="E1" s="368" t="s">
        <v>485</v>
      </c>
      <c r="F1" s="369"/>
      <c r="G1" s="369"/>
      <c r="H1" s="370"/>
      <c r="I1" s="102"/>
      <c r="J1" s="73"/>
      <c r="K1" s="328" t="s">
        <v>514</v>
      </c>
      <c r="L1" s="327">
        <f>'Detail-Planner'!E15</f>
        <v>3000</v>
      </c>
      <c r="M1" s="73"/>
      <c r="N1" s="73"/>
      <c r="O1" s="73"/>
    </row>
    <row r="2" spans="1:26">
      <c r="A2" s="102"/>
      <c r="B2" s="102"/>
      <c r="C2" s="102"/>
      <c r="D2" s="102"/>
      <c r="E2" s="7"/>
      <c r="F2" s="102"/>
      <c r="G2" s="102"/>
      <c r="H2" s="102"/>
      <c r="I2" s="102"/>
      <c r="J2" s="73"/>
      <c r="K2" s="73"/>
      <c r="L2" s="73"/>
      <c r="M2" s="73"/>
      <c r="N2" s="73"/>
      <c r="O2" s="73"/>
    </row>
    <row r="3" spans="1:26">
      <c r="A3" s="350" t="s">
        <v>456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</row>
    <row r="4" spans="1:26">
      <c r="A4" s="351"/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</row>
    <row r="5" spans="1:26" ht="15.75">
      <c r="A5" s="22" t="s">
        <v>0</v>
      </c>
      <c r="B5" s="85" t="s">
        <v>139</v>
      </c>
      <c r="C5" s="23" t="s">
        <v>1</v>
      </c>
      <c r="D5" s="23" t="s">
        <v>2</v>
      </c>
      <c r="E5" s="23" t="s">
        <v>3</v>
      </c>
      <c r="F5" s="23" t="s">
        <v>140</v>
      </c>
      <c r="G5" s="23" t="s">
        <v>141</v>
      </c>
      <c r="H5" s="23" t="s">
        <v>142</v>
      </c>
      <c r="I5" s="23" t="s">
        <v>143</v>
      </c>
      <c r="J5" s="86" t="s">
        <v>470</v>
      </c>
      <c r="K5" s="86" t="s">
        <v>476</v>
      </c>
      <c r="L5" s="145" t="s">
        <v>347</v>
      </c>
      <c r="M5" s="399" t="s">
        <v>517</v>
      </c>
      <c r="N5" s="315" t="s">
        <v>514</v>
      </c>
      <c r="O5" s="86" t="s">
        <v>144</v>
      </c>
      <c r="P5" s="151" t="s">
        <v>360</v>
      </c>
      <c r="Q5" s="151" t="s">
        <v>361</v>
      </c>
      <c r="R5" s="308" t="s">
        <v>511</v>
      </c>
      <c r="S5" s="167" t="s">
        <v>471</v>
      </c>
    </row>
    <row r="6" spans="1:26" ht="17.25" customHeight="1">
      <c r="A6" s="24">
        <v>1</v>
      </c>
      <c r="B6" s="84" t="s">
        <v>317</v>
      </c>
      <c r="C6" s="35">
        <v>4</v>
      </c>
      <c r="D6" s="71" t="s">
        <v>255</v>
      </c>
      <c r="E6" s="36" t="s">
        <v>236</v>
      </c>
      <c r="F6" s="72" t="s">
        <v>265</v>
      </c>
      <c r="G6" s="77">
        <v>0.1</v>
      </c>
      <c r="H6" s="36" t="s">
        <v>282</v>
      </c>
      <c r="I6" s="72" t="s">
        <v>292</v>
      </c>
      <c r="J6" s="74">
        <v>0.39</v>
      </c>
      <c r="K6" s="74">
        <f>Table1469[[#This Row],[Unit Cost]]*Table1469[[#This Row],[Quantity]]</f>
        <v>1.56</v>
      </c>
      <c r="L6" s="74">
        <v>60000</v>
      </c>
      <c r="M6" s="74">
        <f>Table1469[[#This Row],[Quantity]]*Z6-Table1469[[#This Row],[STOCK]]</f>
        <v>-48000</v>
      </c>
      <c r="N6" s="74">
        <f>IF(Table1469[[#This Row],[Interim Value]]&lt;0,0,Table1469[[#This Row],[Interim Value]])</f>
        <v>0</v>
      </c>
      <c r="O6" s="105">
        <f>Table1469[[#This Row],[Kitting Quantity]]*Table1469[[#This Row],[Total]]</f>
        <v>0</v>
      </c>
      <c r="P6" s="11" t="s">
        <v>292</v>
      </c>
      <c r="Q6" s="11" t="s">
        <v>370</v>
      </c>
      <c r="R6" s="1">
        <v>0</v>
      </c>
      <c r="S6" s="1">
        <f>R6*Table1469[[#This Row],[Total]]</f>
        <v>0</v>
      </c>
      <c r="U6">
        <f>ABS(T6*Table1469[[#This Row],[Unit Cost]])</f>
        <v>0</v>
      </c>
      <c r="Z6" s="1">
        <f>L1</f>
        <v>3000</v>
      </c>
    </row>
    <row r="7" spans="1:26" s="187" customFormat="1" ht="13.5" customHeight="1" thickBot="1">
      <c r="A7" s="177">
        <v>2</v>
      </c>
      <c r="B7" s="178" t="s">
        <v>460</v>
      </c>
      <c r="C7" s="179">
        <v>2</v>
      </c>
      <c r="D7" s="180" t="s">
        <v>256</v>
      </c>
      <c r="E7" s="81" t="s">
        <v>457</v>
      </c>
      <c r="F7" s="181" t="s">
        <v>400</v>
      </c>
      <c r="G7" s="182">
        <v>0.05</v>
      </c>
      <c r="H7" s="180" t="s">
        <v>393</v>
      </c>
      <c r="I7" s="183" t="s">
        <v>292</v>
      </c>
      <c r="J7" s="184">
        <v>1.5</v>
      </c>
      <c r="K7" s="184">
        <f>Table1469[[#This Row],[Unit Cost]]*Table1469[[#This Row],[Quantity]]</f>
        <v>3</v>
      </c>
      <c r="L7" s="184">
        <v>0</v>
      </c>
      <c r="M7" s="184">
        <f>Table1469[[#This Row],[Quantity]]*Z7-Table1469[[#This Row],[STOCK]]</f>
        <v>6000</v>
      </c>
      <c r="N7" s="74">
        <f>IF(Table1469[[#This Row],[Interim Value]]&lt;0,0,Table1469[[#This Row],[Interim Value]])</f>
        <v>6000</v>
      </c>
      <c r="O7" s="185">
        <f>Table1469[[#This Row],[Kitting Quantity]]*Table1469[[#This Row],[Total]]</f>
        <v>18000</v>
      </c>
      <c r="P7" s="186" t="s">
        <v>292</v>
      </c>
      <c r="Q7" s="186" t="s">
        <v>370</v>
      </c>
      <c r="R7" s="190">
        <v>10000</v>
      </c>
      <c r="S7" s="1">
        <f>R7*Table1469[[#This Row],[Total]]</f>
        <v>30000</v>
      </c>
      <c r="Z7" s="190">
        <f>L1</f>
        <v>3000</v>
      </c>
    </row>
    <row r="8" spans="1:26">
      <c r="A8" s="24">
        <v>3</v>
      </c>
      <c r="B8" s="11" t="s">
        <v>12</v>
      </c>
      <c r="C8" s="35">
        <v>1</v>
      </c>
      <c r="D8" s="36" t="s">
        <v>17</v>
      </c>
      <c r="E8" s="36" t="s">
        <v>149</v>
      </c>
      <c r="F8" s="36" t="s">
        <v>266</v>
      </c>
      <c r="G8" s="77">
        <v>0.05</v>
      </c>
      <c r="H8" s="36" t="s">
        <v>283</v>
      </c>
      <c r="I8" s="72" t="s">
        <v>293</v>
      </c>
      <c r="J8" s="74">
        <v>0.6</v>
      </c>
      <c r="K8" s="74">
        <f>Table1469[[#This Row],[Unit Cost]]*Table1469[[#This Row],[Quantity]]</f>
        <v>0.6</v>
      </c>
      <c r="L8" s="74">
        <v>0</v>
      </c>
      <c r="M8" s="74">
        <f>Table1469[[#This Row],[Quantity]]*Z8-Table1469[[#This Row],[STOCK]]</f>
        <v>3000</v>
      </c>
      <c r="N8" s="74">
        <f>IF(Table1469[[#This Row],[Interim Value]]&lt;0,0,Table1469[[#This Row],[Interim Value]])</f>
        <v>3000</v>
      </c>
      <c r="O8" s="105">
        <f>Table1469[[#This Row],[Kitting Quantity]]*Table1469[[#This Row],[Total]]</f>
        <v>1800</v>
      </c>
      <c r="P8" s="11" t="s">
        <v>371</v>
      </c>
      <c r="Q8" s="11" t="s">
        <v>370</v>
      </c>
      <c r="R8" s="1">
        <v>0</v>
      </c>
      <c r="S8" s="1">
        <f>R8*Table1469[[#This Row],[Total]]</f>
        <v>0</v>
      </c>
      <c r="Z8" s="1">
        <f>L1</f>
        <v>3000</v>
      </c>
    </row>
    <row r="9" spans="1:26" ht="19.5" customHeight="1">
      <c r="A9" s="24">
        <v>4</v>
      </c>
      <c r="B9" s="84" t="s">
        <v>318</v>
      </c>
      <c r="C9" s="35">
        <v>1</v>
      </c>
      <c r="D9" s="36" t="s">
        <v>24</v>
      </c>
      <c r="E9" s="71" t="s">
        <v>237</v>
      </c>
      <c r="F9" s="36" t="s">
        <v>267</v>
      </c>
      <c r="G9" s="77">
        <v>0.1</v>
      </c>
      <c r="H9" s="36" t="s">
        <v>284</v>
      </c>
      <c r="I9" s="72" t="s">
        <v>293</v>
      </c>
      <c r="J9" s="74">
        <v>0.73</v>
      </c>
      <c r="K9" s="74">
        <f>Table1469[[#This Row],[Unit Cost]]*Table1469[[#This Row],[Quantity]]</f>
        <v>0.73</v>
      </c>
      <c r="L9" s="74">
        <v>2990</v>
      </c>
      <c r="M9" s="74">
        <f>Table1469[[#This Row],[Quantity]]*Z9-Table1469[[#This Row],[STOCK]]</f>
        <v>10</v>
      </c>
      <c r="N9" s="74">
        <f>IF(Table1469[[#This Row],[Interim Value]]&lt;0,0,Table1469[[#This Row],[Interim Value]])</f>
        <v>10</v>
      </c>
      <c r="O9" s="105">
        <f>Table1469[[#This Row],[Kitting Quantity]]*Table1469[[#This Row],[Total]]</f>
        <v>7.3</v>
      </c>
      <c r="P9" s="11" t="s">
        <v>372</v>
      </c>
      <c r="Q9" s="11" t="s">
        <v>373</v>
      </c>
      <c r="R9" s="1">
        <v>0</v>
      </c>
      <c r="S9" s="1">
        <f>R9*Table1469[[#This Row],[Total]]</f>
        <v>0</v>
      </c>
      <c r="Z9" s="1">
        <f>L1</f>
        <v>3000</v>
      </c>
    </row>
    <row r="10" spans="1:26">
      <c r="A10" s="24">
        <v>5</v>
      </c>
      <c r="B10" s="84" t="s">
        <v>319</v>
      </c>
      <c r="C10" s="35">
        <v>1</v>
      </c>
      <c r="D10" s="36" t="s">
        <v>97</v>
      </c>
      <c r="E10" s="36" t="s">
        <v>238</v>
      </c>
      <c r="F10" s="36" t="s">
        <v>268</v>
      </c>
      <c r="G10" s="77">
        <v>0.05</v>
      </c>
      <c r="H10" s="36" t="s">
        <v>283</v>
      </c>
      <c r="I10" s="72" t="s">
        <v>292</v>
      </c>
      <c r="J10" s="74">
        <v>0.6</v>
      </c>
      <c r="K10" s="74">
        <f>Table1469[[#This Row],[Unit Cost]]*Table1469[[#This Row],[Quantity]]</f>
        <v>0.6</v>
      </c>
      <c r="L10" s="74">
        <v>0</v>
      </c>
      <c r="M10" s="74">
        <f>Table1469[[#This Row],[Quantity]]*Z10-Table1469[[#This Row],[STOCK]]</f>
        <v>3000</v>
      </c>
      <c r="N10" s="74">
        <f>IF(Table1469[[#This Row],[Interim Value]]&lt;0,0,Table1469[[#This Row],[Interim Value]])</f>
        <v>3000</v>
      </c>
      <c r="O10" s="105">
        <f>Table1469[[#This Row],[Kitting Quantity]]*Table1469[[#This Row],[Total]]</f>
        <v>1800</v>
      </c>
      <c r="P10" s="11" t="s">
        <v>292</v>
      </c>
      <c r="Q10" s="11" t="s">
        <v>370</v>
      </c>
      <c r="R10" s="1">
        <v>0</v>
      </c>
      <c r="S10" s="1">
        <f>R10*Table1469[[#This Row],[Total]]</f>
        <v>0</v>
      </c>
      <c r="Z10" s="1">
        <f>L1</f>
        <v>3000</v>
      </c>
    </row>
    <row r="11" spans="1:26" ht="17.25" customHeight="1">
      <c r="A11" s="24">
        <v>6</v>
      </c>
      <c r="B11" s="84" t="s">
        <v>19</v>
      </c>
      <c r="C11" s="35">
        <v>1</v>
      </c>
      <c r="D11" s="36" t="s">
        <v>95</v>
      </c>
      <c r="E11" s="36" t="s">
        <v>239</v>
      </c>
      <c r="F11" s="71" t="s">
        <v>269</v>
      </c>
      <c r="G11" s="77">
        <v>0.05</v>
      </c>
      <c r="H11" s="36" t="s">
        <v>284</v>
      </c>
      <c r="I11" s="72" t="s">
        <v>293</v>
      </c>
      <c r="J11" s="74">
        <v>0.64</v>
      </c>
      <c r="K11" s="74">
        <f>Table1469[[#This Row],[Unit Cost]]*Table1469[[#This Row],[Quantity]]</f>
        <v>0.64</v>
      </c>
      <c r="L11" s="74">
        <v>10000</v>
      </c>
      <c r="M11" s="74">
        <f>Table1469[[#This Row],[Quantity]]*Z11-Table1469[[#This Row],[STOCK]]</f>
        <v>-7000</v>
      </c>
      <c r="N11" s="74">
        <f>IF(Table1469[[#This Row],[Interim Value]]&lt;0,0,Table1469[[#This Row],[Interim Value]])</f>
        <v>0</v>
      </c>
      <c r="O11" s="105">
        <f>Table1469[[#This Row],[Kitting Quantity]]*Table1469[[#This Row],[Total]]</f>
        <v>0</v>
      </c>
      <c r="P11" s="11" t="s">
        <v>372</v>
      </c>
      <c r="Q11" s="11" t="s">
        <v>373</v>
      </c>
      <c r="R11" s="1">
        <v>0</v>
      </c>
      <c r="S11" s="1">
        <f>R11*Table1469[[#This Row],[Total]]</f>
        <v>0</v>
      </c>
      <c r="Z11" s="1">
        <f>L1</f>
        <v>3000</v>
      </c>
    </row>
    <row r="12" spans="1:26" s="1" customFormat="1" ht="18.75" customHeight="1">
      <c r="A12" s="24">
        <v>7</v>
      </c>
      <c r="B12" s="72" t="s">
        <v>320</v>
      </c>
      <c r="C12" s="35">
        <v>1</v>
      </c>
      <c r="D12" s="36" t="s">
        <v>22</v>
      </c>
      <c r="E12" s="71" t="s">
        <v>240</v>
      </c>
      <c r="F12" s="71" t="s">
        <v>270</v>
      </c>
      <c r="G12" s="77">
        <v>0.1</v>
      </c>
      <c r="H12" s="36" t="s">
        <v>284</v>
      </c>
      <c r="I12" s="72" t="s">
        <v>293</v>
      </c>
      <c r="J12" s="74">
        <v>2.95</v>
      </c>
      <c r="K12" s="74">
        <f>Table1469[[#This Row],[Unit Cost]]*Table1469[[#This Row],[Quantity]]</f>
        <v>2.95</v>
      </c>
      <c r="L12" s="74">
        <v>2989</v>
      </c>
      <c r="M12" s="74">
        <f>Table1469[[#This Row],[Quantity]]*Z12-Table1469[[#This Row],[STOCK]]</f>
        <v>11</v>
      </c>
      <c r="N12" s="74">
        <f>IF(Table1469[[#This Row],[Interim Value]]&lt;0,0,Table1469[[#This Row],[Interim Value]])</f>
        <v>11</v>
      </c>
      <c r="O12" s="105">
        <f>Table1469[[#This Row],[Kitting Quantity]]*Table1469[[#This Row],[Total]]</f>
        <v>32.450000000000003</v>
      </c>
      <c r="P12" s="11" t="s">
        <v>372</v>
      </c>
      <c r="Q12" s="11" t="s">
        <v>373</v>
      </c>
      <c r="R12" s="1">
        <v>5000</v>
      </c>
      <c r="S12" s="1">
        <f>R12*Table1469[[#This Row],[Total]]</f>
        <v>14750</v>
      </c>
      <c r="Z12" s="1">
        <f>L1</f>
        <v>3000</v>
      </c>
    </row>
    <row r="13" spans="1:26">
      <c r="A13" s="24">
        <v>8</v>
      </c>
      <c r="B13" s="84" t="s">
        <v>38</v>
      </c>
      <c r="C13" s="35">
        <v>2</v>
      </c>
      <c r="D13" s="36" t="s">
        <v>257</v>
      </c>
      <c r="E13" s="36" t="s">
        <v>241</v>
      </c>
      <c r="F13" s="36" t="s">
        <v>271</v>
      </c>
      <c r="G13" s="72"/>
      <c r="H13" s="36" t="s">
        <v>285</v>
      </c>
      <c r="I13" s="72" t="s">
        <v>292</v>
      </c>
      <c r="J13" s="149">
        <v>3</v>
      </c>
      <c r="K13" s="149">
        <f>Table1469[[#This Row],[Unit Cost]]*Table1469[[#This Row],[Quantity]]</f>
        <v>6</v>
      </c>
      <c r="L13" s="74">
        <v>19500</v>
      </c>
      <c r="M13" s="74">
        <f>Table1469[[#This Row],[Quantity]]*Z13-Table1469[[#This Row],[STOCK]]</f>
        <v>-13500</v>
      </c>
      <c r="N13" s="74">
        <f>IF(Table1469[[#This Row],[Interim Value]]&lt;0,0,Table1469[[#This Row],[Interim Value]])</f>
        <v>0</v>
      </c>
      <c r="O13" s="105">
        <f>Table1469[[#This Row],[Kitting Quantity]]*Table1469[[#This Row],[Total]]</f>
        <v>0</v>
      </c>
      <c r="P13" s="11" t="s">
        <v>371</v>
      </c>
      <c r="Q13" s="11" t="s">
        <v>370</v>
      </c>
      <c r="R13" s="1">
        <v>0</v>
      </c>
      <c r="S13" s="1">
        <f>R13*Table1469[[#This Row],[Total]]</f>
        <v>0</v>
      </c>
      <c r="Z13" s="1">
        <f>L1</f>
        <v>3000</v>
      </c>
    </row>
    <row r="14" spans="1:26" ht="16.5" customHeight="1">
      <c r="A14" s="24">
        <v>9</v>
      </c>
      <c r="B14" s="84" t="s">
        <v>321</v>
      </c>
      <c r="C14" s="35">
        <v>1</v>
      </c>
      <c r="D14" s="36" t="s">
        <v>87</v>
      </c>
      <c r="E14" s="36" t="s">
        <v>242</v>
      </c>
      <c r="F14" s="71" t="s">
        <v>272</v>
      </c>
      <c r="G14" s="77">
        <v>0.1</v>
      </c>
      <c r="H14" s="36" t="s">
        <v>286</v>
      </c>
      <c r="I14" s="72" t="s">
        <v>293</v>
      </c>
      <c r="J14" s="74">
        <v>3.08</v>
      </c>
      <c r="K14" s="74">
        <f>Table1469[[#This Row],[Unit Cost]]*Table1469[[#This Row],[Quantity]]</f>
        <v>3.08</v>
      </c>
      <c r="L14" s="74">
        <v>10000</v>
      </c>
      <c r="M14" s="74">
        <f>Table1469[[#This Row],[Quantity]]*Z14-Table1469[[#This Row],[STOCK]]</f>
        <v>-7000</v>
      </c>
      <c r="N14" s="74">
        <f>IF(Table1469[[#This Row],[Interim Value]]&lt;0,0,Table1469[[#This Row],[Interim Value]])</f>
        <v>0</v>
      </c>
      <c r="O14" s="105">
        <f>Table1469[[#This Row],[Kitting Quantity]]*Table1469[[#This Row],[Total]]</f>
        <v>0</v>
      </c>
      <c r="P14" s="11" t="s">
        <v>292</v>
      </c>
      <c r="Q14" s="11" t="s">
        <v>370</v>
      </c>
      <c r="R14" s="1">
        <v>0</v>
      </c>
      <c r="S14" s="1">
        <f>R14*Table1469[[#This Row],[Total]]</f>
        <v>0</v>
      </c>
      <c r="Z14" s="1">
        <f>L1</f>
        <v>3000</v>
      </c>
    </row>
    <row r="15" spans="1:26" ht="17.25" customHeight="1">
      <c r="A15" s="24">
        <v>10</v>
      </c>
      <c r="B15" s="84" t="s">
        <v>322</v>
      </c>
      <c r="C15" s="35">
        <v>1</v>
      </c>
      <c r="D15" s="36" t="s">
        <v>100</v>
      </c>
      <c r="E15" s="36" t="s">
        <v>243</v>
      </c>
      <c r="F15" s="71" t="s">
        <v>273</v>
      </c>
      <c r="G15" s="77"/>
      <c r="H15" s="36"/>
      <c r="I15" s="72" t="s">
        <v>293</v>
      </c>
      <c r="J15" s="74">
        <v>1.75</v>
      </c>
      <c r="K15" s="74">
        <f>Table1469[[#This Row],[Unit Cost]]*Table1469[[#This Row],[Quantity]]</f>
        <v>1.75</v>
      </c>
      <c r="L15" s="74">
        <v>15000</v>
      </c>
      <c r="M15" s="74">
        <f>Table1469[[#This Row],[Quantity]]*Z15-Table1469[[#This Row],[STOCK]]</f>
        <v>-12000</v>
      </c>
      <c r="N15" s="74">
        <f>IF(Table1469[[#This Row],[Interim Value]]&lt;0,0,Table1469[[#This Row],[Interim Value]])</f>
        <v>0</v>
      </c>
      <c r="O15" s="105">
        <f>Table1469[[#This Row],[Kitting Quantity]]*Table1469[[#This Row],[Total]]</f>
        <v>0</v>
      </c>
      <c r="P15" s="11" t="s">
        <v>371</v>
      </c>
      <c r="Q15" s="11" t="s">
        <v>370</v>
      </c>
      <c r="R15" s="1">
        <v>0</v>
      </c>
      <c r="S15" s="1">
        <f>R15*Table1469[[#This Row],[Total]]</f>
        <v>0</v>
      </c>
      <c r="Z15" s="1">
        <f>L1</f>
        <v>3000</v>
      </c>
    </row>
    <row r="16" spans="1:26">
      <c r="A16" s="24">
        <v>11</v>
      </c>
      <c r="B16" s="84" t="s">
        <v>323</v>
      </c>
      <c r="C16" s="35">
        <v>1</v>
      </c>
      <c r="D16" s="36" t="s">
        <v>258</v>
      </c>
      <c r="E16" s="36" t="s">
        <v>244</v>
      </c>
      <c r="F16" s="71" t="s">
        <v>274</v>
      </c>
      <c r="G16" s="77"/>
      <c r="H16" s="36" t="s">
        <v>287</v>
      </c>
      <c r="I16" s="72" t="s">
        <v>292</v>
      </c>
      <c r="J16" s="74">
        <v>0.65</v>
      </c>
      <c r="K16" s="74">
        <f>Table1469[[#This Row],[Unit Cost]]*Table1469[[#This Row],[Quantity]]</f>
        <v>0.65</v>
      </c>
      <c r="L16" s="74">
        <v>0</v>
      </c>
      <c r="M16" s="74">
        <f>Table1469[[#This Row],[Quantity]]*Z16-Table1469[[#This Row],[STOCK]]</f>
        <v>3000</v>
      </c>
      <c r="N16" s="74">
        <f>IF(Table1469[[#This Row],[Interim Value]]&lt;0,0,Table1469[[#This Row],[Interim Value]])</f>
        <v>3000</v>
      </c>
      <c r="O16" s="105">
        <f>Table1469[[#This Row],[Kitting Quantity]]*Table1469[[#This Row],[Total]]</f>
        <v>1950</v>
      </c>
      <c r="P16" s="11" t="s">
        <v>292</v>
      </c>
      <c r="Q16" s="11" t="s">
        <v>370</v>
      </c>
      <c r="R16" s="1">
        <v>0</v>
      </c>
      <c r="S16" s="1">
        <f>R16*Table1469[[#This Row],[Total]]</f>
        <v>0</v>
      </c>
      <c r="Z16" s="1">
        <f>L1</f>
        <v>3000</v>
      </c>
    </row>
    <row r="17" spans="1:26">
      <c r="A17" s="24">
        <v>12</v>
      </c>
      <c r="B17" s="84" t="s">
        <v>323</v>
      </c>
      <c r="C17" s="35">
        <v>1</v>
      </c>
      <c r="D17" s="36" t="s">
        <v>259</v>
      </c>
      <c r="E17" s="36" t="s">
        <v>244</v>
      </c>
      <c r="F17" s="71" t="s">
        <v>274</v>
      </c>
      <c r="G17" s="72"/>
      <c r="H17" s="36" t="s">
        <v>287</v>
      </c>
      <c r="I17" s="72" t="s">
        <v>292</v>
      </c>
      <c r="J17" s="74">
        <v>0.65</v>
      </c>
      <c r="K17" s="74">
        <f>Table1469[[#This Row],[Unit Cost]]*Table1469[[#This Row],[Quantity]]</f>
        <v>0.65</v>
      </c>
      <c r="L17" s="74">
        <v>0</v>
      </c>
      <c r="M17" s="74">
        <f>Table1469[[#This Row],[Quantity]]*Z17-Table1469[[#This Row],[STOCK]]</f>
        <v>3000</v>
      </c>
      <c r="N17" s="74">
        <f>IF(Table1469[[#This Row],[Interim Value]]&lt;0,0,Table1469[[#This Row],[Interim Value]])</f>
        <v>3000</v>
      </c>
      <c r="O17" s="105">
        <f>Table1469[[#This Row],[Kitting Quantity]]*Table1469[[#This Row],[Total]]</f>
        <v>1950</v>
      </c>
      <c r="P17" s="11" t="s">
        <v>292</v>
      </c>
      <c r="Q17" s="11" t="s">
        <v>370</v>
      </c>
      <c r="R17" s="1">
        <v>0</v>
      </c>
      <c r="S17" s="1">
        <f>R17*Table1469[[#This Row],[Total]]</f>
        <v>0</v>
      </c>
      <c r="Z17" s="1">
        <f>L1</f>
        <v>3000</v>
      </c>
    </row>
    <row r="18" spans="1:26" ht="14.25" customHeight="1">
      <c r="A18" s="24">
        <v>13</v>
      </c>
      <c r="B18" s="84" t="s">
        <v>27</v>
      </c>
      <c r="C18" s="35">
        <v>1</v>
      </c>
      <c r="D18" s="36" t="s">
        <v>260</v>
      </c>
      <c r="E18" s="36" t="s">
        <v>29</v>
      </c>
      <c r="F18" s="36" t="s">
        <v>164</v>
      </c>
      <c r="G18" s="72"/>
      <c r="H18" s="71" t="s">
        <v>288</v>
      </c>
      <c r="I18" s="72" t="s">
        <v>293</v>
      </c>
      <c r="J18" s="74">
        <v>3.5</v>
      </c>
      <c r="K18" s="74">
        <f>Table1469[[#This Row],[Unit Cost]]*Table1469[[#This Row],[Quantity]]</f>
        <v>3.5</v>
      </c>
      <c r="L18" s="74">
        <v>0</v>
      </c>
      <c r="M18" s="74">
        <f>Table1469[[#This Row],[Quantity]]*Z18-Table1469[[#This Row],[STOCK]]</f>
        <v>3000</v>
      </c>
      <c r="N18" s="74">
        <f>IF(Table1469[[#This Row],[Interim Value]]&lt;0,0,Table1469[[#This Row],[Interim Value]])</f>
        <v>3000</v>
      </c>
      <c r="O18" s="105">
        <f>Table1469[[#This Row],[Kitting Quantity]]*Table1469[[#This Row],[Total]]</f>
        <v>10500</v>
      </c>
      <c r="P18" s="11" t="s">
        <v>292</v>
      </c>
      <c r="Q18" s="11" t="s">
        <v>370</v>
      </c>
      <c r="R18" s="1">
        <v>1600</v>
      </c>
      <c r="S18" s="1">
        <f>R18*Table1469[[#This Row],[Total]]</f>
        <v>5600</v>
      </c>
      <c r="Z18" s="1">
        <f>L1</f>
        <v>3000</v>
      </c>
    </row>
    <row r="19" spans="1:26" ht="18.75" customHeight="1">
      <c r="A19" s="24">
        <v>14</v>
      </c>
      <c r="B19" s="84" t="s">
        <v>205</v>
      </c>
      <c r="C19" s="35">
        <v>1</v>
      </c>
      <c r="D19" s="36" t="s">
        <v>110</v>
      </c>
      <c r="E19" s="71" t="s">
        <v>295</v>
      </c>
      <c r="F19" s="36" t="s">
        <v>167</v>
      </c>
      <c r="G19" s="72"/>
      <c r="H19" s="36" t="s">
        <v>289</v>
      </c>
      <c r="I19" s="78" t="s">
        <v>293</v>
      </c>
      <c r="J19" s="74">
        <v>2.5</v>
      </c>
      <c r="K19" s="74">
        <f>Table1469[[#This Row],[Unit Cost]]*Table1469[[#This Row],[Quantity]]</f>
        <v>2.5</v>
      </c>
      <c r="L19" s="74">
        <v>0</v>
      </c>
      <c r="M19" s="74">
        <f>Table1469[[#This Row],[Quantity]]*Z19-Table1469[[#This Row],[STOCK]]</f>
        <v>3000</v>
      </c>
      <c r="N19" s="74">
        <f>IF(Table1469[[#This Row],[Interim Value]]&lt;0,0,Table1469[[#This Row],[Interim Value]])</f>
        <v>3000</v>
      </c>
      <c r="O19" s="105">
        <f>Table1469[[#This Row],[Kitting Quantity]]*Table1469[[#This Row],[Total]]</f>
        <v>7500</v>
      </c>
      <c r="P19" s="11" t="s">
        <v>292</v>
      </c>
      <c r="Q19" s="11" t="s">
        <v>370</v>
      </c>
      <c r="R19" s="1">
        <v>5000</v>
      </c>
      <c r="S19" s="1">
        <f>R19*Table1469[[#This Row],[Total]]</f>
        <v>12500</v>
      </c>
      <c r="Z19" s="1">
        <f>L1</f>
        <v>3000</v>
      </c>
    </row>
    <row r="20" spans="1:26">
      <c r="A20" s="24">
        <v>15</v>
      </c>
      <c r="B20" s="72" t="s">
        <v>324</v>
      </c>
      <c r="C20" s="35">
        <v>2</v>
      </c>
      <c r="D20" s="36" t="s">
        <v>261</v>
      </c>
      <c r="E20" s="36" t="s">
        <v>245</v>
      </c>
      <c r="F20" s="36" t="s">
        <v>275</v>
      </c>
      <c r="G20" s="77">
        <v>0.05</v>
      </c>
      <c r="H20" s="72" t="s">
        <v>230</v>
      </c>
      <c r="I20" s="72" t="s">
        <v>172</v>
      </c>
      <c r="J20" s="74">
        <v>5</v>
      </c>
      <c r="K20" s="74">
        <f>Table1469[[#This Row],[Unit Cost]]*Table1469[[#This Row],[Quantity]]</f>
        <v>10</v>
      </c>
      <c r="L20" s="74">
        <v>0</v>
      </c>
      <c r="M20" s="74">
        <f>Table1469[[#This Row],[Quantity]]*Z20-Table1469[[#This Row],[STOCK]]</f>
        <v>6000</v>
      </c>
      <c r="N20" s="74">
        <f>IF(Table1469[[#This Row],[Interim Value]]&lt;0,0,Table1469[[#This Row],[Interim Value]])</f>
        <v>6000</v>
      </c>
      <c r="O20" s="105">
        <f>Table1469[[#This Row],[Kitting Quantity]]*Table1469[[#This Row],[Total]]</f>
        <v>60000</v>
      </c>
      <c r="P20" s="11" t="s">
        <v>371</v>
      </c>
      <c r="Q20" s="11" t="s">
        <v>370</v>
      </c>
      <c r="R20" s="1">
        <v>5000</v>
      </c>
      <c r="S20" s="1">
        <f>R20*Table1469[[#This Row],[Total]]</f>
        <v>50000</v>
      </c>
      <c r="Z20" s="1">
        <f>L1</f>
        <v>3000</v>
      </c>
    </row>
    <row r="21" spans="1:26" s="187" customFormat="1" ht="15.75" thickBot="1">
      <c r="A21" s="177">
        <v>16</v>
      </c>
      <c r="B21" s="178" t="s">
        <v>461</v>
      </c>
      <c r="C21" s="188">
        <v>1</v>
      </c>
      <c r="D21" s="81" t="s">
        <v>43</v>
      </c>
      <c r="E21" s="81" t="s">
        <v>458</v>
      </c>
      <c r="F21" s="81" t="s">
        <v>276</v>
      </c>
      <c r="G21" s="183"/>
      <c r="H21" s="81" t="s">
        <v>290</v>
      </c>
      <c r="I21" s="183" t="s">
        <v>293</v>
      </c>
      <c r="J21" s="184">
        <v>23</v>
      </c>
      <c r="K21" s="184">
        <f>Table1469[[#This Row],[Unit Cost]]*Table1469[[#This Row],[Quantity]]</f>
        <v>23</v>
      </c>
      <c r="L21" s="184">
        <v>0</v>
      </c>
      <c r="M21" s="184">
        <f>Table1469[[#This Row],[Quantity]]*Z21-Table1469[[#This Row],[STOCK]]</f>
        <v>3000</v>
      </c>
      <c r="N21" s="74">
        <f>IF(Table1469[[#This Row],[Interim Value]]&lt;0,0,Table1469[[#This Row],[Interim Value]])</f>
        <v>3000</v>
      </c>
      <c r="O21" s="185">
        <f>Table1469[[#This Row],[Kitting Quantity]]*Table1469[[#This Row],[Total]]</f>
        <v>69000</v>
      </c>
      <c r="P21" s="186" t="s">
        <v>371</v>
      </c>
      <c r="Q21" s="186" t="s">
        <v>370</v>
      </c>
      <c r="R21" s="190">
        <v>0</v>
      </c>
      <c r="S21" s="1">
        <f>R21*Table1469[[#This Row],[Total]]</f>
        <v>0</v>
      </c>
      <c r="Z21" s="190">
        <f>L1</f>
        <v>3000</v>
      </c>
    </row>
    <row r="22" spans="1:26">
      <c r="A22" s="24">
        <v>17</v>
      </c>
      <c r="B22" s="72" t="s">
        <v>325</v>
      </c>
      <c r="C22" s="35">
        <v>2</v>
      </c>
      <c r="D22" s="36" t="s">
        <v>262</v>
      </c>
      <c r="E22" s="36" t="s">
        <v>374</v>
      </c>
      <c r="F22" s="36" t="s">
        <v>277</v>
      </c>
      <c r="G22" s="77"/>
      <c r="H22" s="36" t="s">
        <v>228</v>
      </c>
      <c r="I22" s="72" t="s">
        <v>292</v>
      </c>
      <c r="J22" s="74">
        <v>0.21</v>
      </c>
      <c r="K22" s="74">
        <f>Table1469[[#This Row],[Unit Cost]]*Table1469[[#This Row],[Quantity]]</f>
        <v>0.42</v>
      </c>
      <c r="L22" s="74">
        <v>0</v>
      </c>
      <c r="M22" s="74">
        <f>Table1469[[#This Row],[Quantity]]*Z22-Table1469[[#This Row],[STOCK]]</f>
        <v>6000</v>
      </c>
      <c r="N22" s="74">
        <f>IF(Table1469[[#This Row],[Interim Value]]&lt;0,0,Table1469[[#This Row],[Interim Value]])</f>
        <v>6000</v>
      </c>
      <c r="O22" s="105">
        <f>Table1469[[#This Row],[Kitting Quantity]]*Table1469[[#This Row],[Total]]</f>
        <v>2520</v>
      </c>
      <c r="P22" s="11" t="s">
        <v>364</v>
      </c>
      <c r="Q22" s="11" t="s">
        <v>375</v>
      </c>
      <c r="R22" s="1">
        <v>0</v>
      </c>
      <c r="S22" s="1">
        <f>R22*Table1469[[#This Row],[Total]]</f>
        <v>0</v>
      </c>
      <c r="Z22" s="1">
        <f>L1</f>
        <v>3000</v>
      </c>
    </row>
    <row r="23" spans="1:26">
      <c r="A23" s="24">
        <v>18</v>
      </c>
      <c r="B23" s="72" t="s">
        <v>223</v>
      </c>
      <c r="C23" s="35">
        <v>1</v>
      </c>
      <c r="D23" s="36" t="s">
        <v>62</v>
      </c>
      <c r="E23" s="36" t="s">
        <v>66</v>
      </c>
      <c r="F23" s="36" t="s">
        <v>53</v>
      </c>
      <c r="G23" s="77">
        <v>0.05</v>
      </c>
      <c r="H23" s="36" t="s">
        <v>228</v>
      </c>
      <c r="I23" s="72" t="s">
        <v>292</v>
      </c>
      <c r="J23" s="74">
        <v>0.08</v>
      </c>
      <c r="K23" s="74">
        <f>Table1469[[#This Row],[Unit Cost]]*Table1469[[#This Row],[Quantity]]</f>
        <v>0.08</v>
      </c>
      <c r="L23" s="74">
        <v>15000</v>
      </c>
      <c r="M23" s="74">
        <f>Table1469[[#This Row],[Quantity]]*Z23-Table1469[[#This Row],[STOCK]]</f>
        <v>-12000</v>
      </c>
      <c r="N23" s="74">
        <f>IF(Table1469[[#This Row],[Interim Value]]&lt;0,0,Table1469[[#This Row],[Interim Value]])</f>
        <v>0</v>
      </c>
      <c r="O23" s="105">
        <f>Table1469[[#This Row],[Kitting Quantity]]*Table1469[[#This Row],[Total]]</f>
        <v>0</v>
      </c>
      <c r="P23" s="11" t="s">
        <v>292</v>
      </c>
      <c r="Q23" s="11" t="s">
        <v>370</v>
      </c>
      <c r="R23" s="1">
        <v>0</v>
      </c>
      <c r="S23" s="1">
        <f>R23*Table1469[[#This Row],[Total]]</f>
        <v>0</v>
      </c>
      <c r="Z23" s="1">
        <f>L1</f>
        <v>3000</v>
      </c>
    </row>
    <row r="24" spans="1:26">
      <c r="A24" s="24">
        <v>19</v>
      </c>
      <c r="B24" s="72" t="s">
        <v>326</v>
      </c>
      <c r="C24" s="35">
        <v>1</v>
      </c>
      <c r="D24" s="36" t="s">
        <v>79</v>
      </c>
      <c r="E24" s="36" t="s">
        <v>247</v>
      </c>
      <c r="F24" s="36" t="s">
        <v>278</v>
      </c>
      <c r="G24" s="77">
        <v>0.05</v>
      </c>
      <c r="H24" s="36" t="s">
        <v>228</v>
      </c>
      <c r="I24" s="72" t="s">
        <v>292</v>
      </c>
      <c r="J24" s="74">
        <v>0.3</v>
      </c>
      <c r="K24" s="74">
        <f>Table1469[[#This Row],[Unit Cost]]*Table1469[[#This Row],[Quantity]]</f>
        <v>0.3</v>
      </c>
      <c r="L24" s="74">
        <v>0</v>
      </c>
      <c r="M24" s="74">
        <f>Table1469[[#This Row],[Quantity]]*Z24-Table1469[[#This Row],[STOCK]]</f>
        <v>3000</v>
      </c>
      <c r="N24" s="74">
        <f>IF(Table1469[[#This Row],[Interim Value]]&lt;0,0,Table1469[[#This Row],[Interim Value]])</f>
        <v>3000</v>
      </c>
      <c r="O24" s="105">
        <f>Table1469[[#This Row],[Kitting Quantity]]*Table1469[[#This Row],[Total]]</f>
        <v>900</v>
      </c>
      <c r="P24" s="11" t="s">
        <v>364</v>
      </c>
      <c r="Q24" s="11" t="s">
        <v>375</v>
      </c>
      <c r="R24" s="1">
        <v>0</v>
      </c>
      <c r="S24" s="1">
        <f>R24*Table1469[[#This Row],[Total]]</f>
        <v>0</v>
      </c>
      <c r="Z24" s="1">
        <f>L1</f>
        <v>3000</v>
      </c>
    </row>
    <row r="25" spans="1:26">
      <c r="A25" s="24">
        <v>20</v>
      </c>
      <c r="B25" s="72" t="s">
        <v>327</v>
      </c>
      <c r="C25" s="35">
        <v>1</v>
      </c>
      <c r="D25" s="36" t="s">
        <v>59</v>
      </c>
      <c r="E25" s="36" t="s">
        <v>248</v>
      </c>
      <c r="F25" s="36" t="s">
        <v>53</v>
      </c>
      <c r="G25" s="77">
        <v>0.05</v>
      </c>
      <c r="H25" s="36" t="s">
        <v>228</v>
      </c>
      <c r="I25" s="72" t="s">
        <v>292</v>
      </c>
      <c r="J25" s="74">
        <v>0.08</v>
      </c>
      <c r="K25" s="74">
        <f>Table1469[[#This Row],[Unit Cost]]*Table1469[[#This Row],[Quantity]]</f>
        <v>0.08</v>
      </c>
      <c r="L25" s="74">
        <v>15000</v>
      </c>
      <c r="M25" s="74">
        <f>Table1469[[#This Row],[Quantity]]*Z25-Table1469[[#This Row],[STOCK]]</f>
        <v>-12000</v>
      </c>
      <c r="N25" s="74">
        <f>IF(Table1469[[#This Row],[Interim Value]]&lt;0,0,Table1469[[#This Row],[Interim Value]])</f>
        <v>0</v>
      </c>
      <c r="O25" s="105">
        <f>Table1469[[#This Row],[Kitting Quantity]]*Table1469[[#This Row],[Total]]</f>
        <v>0</v>
      </c>
      <c r="P25" s="11" t="s">
        <v>292</v>
      </c>
      <c r="Q25" s="11" t="s">
        <v>370</v>
      </c>
      <c r="R25" s="1">
        <v>0</v>
      </c>
      <c r="S25" s="1">
        <f>R25*Table1469[[#This Row],[Total]]</f>
        <v>0</v>
      </c>
      <c r="Z25" s="1">
        <f>L1</f>
        <v>3000</v>
      </c>
    </row>
    <row r="26" spans="1:26" s="187" customFormat="1" ht="15.75" thickBot="1">
      <c r="A26" s="177">
        <v>21</v>
      </c>
      <c r="B26" s="178" t="s">
        <v>462</v>
      </c>
      <c r="C26" s="188">
        <v>1</v>
      </c>
      <c r="D26" s="81" t="s">
        <v>70</v>
      </c>
      <c r="E26" s="81" t="s">
        <v>459</v>
      </c>
      <c r="F26" s="81" t="s">
        <v>53</v>
      </c>
      <c r="G26" s="189">
        <v>0.01</v>
      </c>
      <c r="H26" s="81" t="s">
        <v>228</v>
      </c>
      <c r="I26" s="183" t="s">
        <v>292</v>
      </c>
      <c r="J26" s="184">
        <v>0.08</v>
      </c>
      <c r="K26" s="184">
        <f>Table1469[[#This Row],[Unit Cost]]*Table1469[[#This Row],[Quantity]]</f>
        <v>0.08</v>
      </c>
      <c r="L26" s="184">
        <v>0</v>
      </c>
      <c r="M26" s="184">
        <f>Table1469[[#This Row],[Quantity]]*Z26-Table1469[[#This Row],[STOCK]]</f>
        <v>3000</v>
      </c>
      <c r="N26" s="74">
        <f>IF(Table1469[[#This Row],[Interim Value]]&lt;0,0,Table1469[[#This Row],[Interim Value]])</f>
        <v>3000</v>
      </c>
      <c r="O26" s="185">
        <f>Table1469[[#This Row],[Kitting Quantity]]*Table1469[[#This Row],[Total]]</f>
        <v>240</v>
      </c>
      <c r="P26" s="186" t="s">
        <v>292</v>
      </c>
      <c r="Q26" s="186" t="s">
        <v>370</v>
      </c>
      <c r="R26" s="190">
        <v>5000</v>
      </c>
      <c r="S26" s="1">
        <f>R26*Table1469[[#This Row],[Total]]</f>
        <v>400</v>
      </c>
      <c r="Z26" s="190">
        <f>L1</f>
        <v>3000</v>
      </c>
    </row>
    <row r="27" spans="1:26" s="187" customFormat="1">
      <c r="A27" s="177">
        <v>22</v>
      </c>
      <c r="B27" s="183" t="s">
        <v>329</v>
      </c>
      <c r="C27" s="188">
        <v>1</v>
      </c>
      <c r="D27" s="81" t="s">
        <v>73</v>
      </c>
      <c r="E27" s="81" t="s">
        <v>300</v>
      </c>
      <c r="F27" s="81" t="s">
        <v>53</v>
      </c>
      <c r="G27" s="189">
        <v>0.01</v>
      </c>
      <c r="H27" s="81" t="s">
        <v>228</v>
      </c>
      <c r="I27" s="183" t="s">
        <v>292</v>
      </c>
      <c r="J27" s="184">
        <v>0.1</v>
      </c>
      <c r="K27" s="184">
        <f>Table1469[[#This Row],[Unit Cost]]*Table1469[[#This Row],[Quantity]]</f>
        <v>0.1</v>
      </c>
      <c r="L27" s="184">
        <v>0</v>
      </c>
      <c r="M27" s="184">
        <f>Table1469[[#This Row],[Quantity]]*Z27-Table1469[[#This Row],[STOCK]]</f>
        <v>3000</v>
      </c>
      <c r="N27" s="74">
        <f>IF(Table1469[[#This Row],[Interim Value]]&lt;0,0,Table1469[[#This Row],[Interim Value]])</f>
        <v>3000</v>
      </c>
      <c r="O27" s="185">
        <f>Table1469[[#This Row],[Kitting Quantity]]*Table1469[[#This Row],[Total]]</f>
        <v>300</v>
      </c>
      <c r="P27" s="186" t="s">
        <v>292</v>
      </c>
      <c r="Q27" s="186" t="s">
        <v>370</v>
      </c>
      <c r="R27" s="190">
        <v>0</v>
      </c>
      <c r="S27" s="1">
        <f>R27*Table1469[[#This Row],[Total]]</f>
        <v>0</v>
      </c>
      <c r="Z27" s="190">
        <f>L1</f>
        <v>3000</v>
      </c>
    </row>
    <row r="28" spans="1:26">
      <c r="A28" s="24">
        <v>23</v>
      </c>
      <c r="B28" s="72" t="s">
        <v>339</v>
      </c>
      <c r="C28" s="35">
        <v>1</v>
      </c>
      <c r="D28" s="36" t="s">
        <v>182</v>
      </c>
      <c r="E28" s="36" t="s">
        <v>247</v>
      </c>
      <c r="F28" s="36" t="s">
        <v>53</v>
      </c>
      <c r="G28" s="77">
        <v>0.01</v>
      </c>
      <c r="H28" s="36" t="s">
        <v>228</v>
      </c>
      <c r="I28" s="72" t="s">
        <v>292</v>
      </c>
      <c r="J28" s="74">
        <v>0.1</v>
      </c>
      <c r="K28" s="74">
        <f>Table1469[[#This Row],[Unit Cost]]*Table1469[[#This Row],[Quantity]]</f>
        <v>0.1</v>
      </c>
      <c r="L28" s="74">
        <v>0</v>
      </c>
      <c r="M28" s="74">
        <f>Table1469[[#This Row],[Quantity]]*Z28-Table1469[[#This Row],[STOCK]]</f>
        <v>3000</v>
      </c>
      <c r="N28" s="74">
        <f>IF(Table1469[[#This Row],[Interim Value]]&lt;0,0,Table1469[[#This Row],[Interim Value]])</f>
        <v>3000</v>
      </c>
      <c r="O28" s="105">
        <f>Table1469[[#This Row],[Kitting Quantity]]*Table1469[[#This Row],[Total]]</f>
        <v>300</v>
      </c>
      <c r="P28" s="11" t="s">
        <v>292</v>
      </c>
      <c r="Q28" s="11" t="s">
        <v>370</v>
      </c>
      <c r="R28" s="1">
        <v>0</v>
      </c>
      <c r="S28" s="1">
        <f>R28*Table1469[[#This Row],[Total]]</f>
        <v>0</v>
      </c>
      <c r="Z28" s="1">
        <f>L1</f>
        <v>3000</v>
      </c>
    </row>
    <row r="29" spans="1:26">
      <c r="A29" s="24">
        <v>24</v>
      </c>
      <c r="B29" s="72" t="s">
        <v>331</v>
      </c>
      <c r="C29" s="35">
        <v>1</v>
      </c>
      <c r="D29" s="36" t="s">
        <v>55</v>
      </c>
      <c r="E29" s="36" t="s">
        <v>76</v>
      </c>
      <c r="F29" s="36" t="s">
        <v>53</v>
      </c>
      <c r="G29" s="77">
        <v>0.05</v>
      </c>
      <c r="H29" s="36" t="s">
        <v>228</v>
      </c>
      <c r="I29" s="72" t="s">
        <v>292</v>
      </c>
      <c r="J29" s="74">
        <v>0.08</v>
      </c>
      <c r="K29" s="74">
        <f>Table1469[[#This Row],[Unit Cost]]*Table1469[[#This Row],[Quantity]]</f>
        <v>0.08</v>
      </c>
      <c r="L29" s="74">
        <v>0</v>
      </c>
      <c r="M29" s="74">
        <f>Table1469[[#This Row],[Quantity]]*Z29-Table1469[[#This Row],[STOCK]]</f>
        <v>3000</v>
      </c>
      <c r="N29" s="74">
        <f>IF(Table1469[[#This Row],[Interim Value]]&lt;0,0,Table1469[[#This Row],[Interim Value]])</f>
        <v>3000</v>
      </c>
      <c r="O29" s="105">
        <f>Table1469[[#This Row],[Kitting Quantity]]*Table1469[[#This Row],[Total]]</f>
        <v>240</v>
      </c>
      <c r="P29" s="11" t="s">
        <v>292</v>
      </c>
      <c r="Q29" s="11" t="s">
        <v>370</v>
      </c>
      <c r="R29" s="1">
        <v>0</v>
      </c>
      <c r="S29" s="1">
        <f>R29*Table1469[[#This Row],[Total]]</f>
        <v>0</v>
      </c>
      <c r="Z29" s="1">
        <f>L1</f>
        <v>3000</v>
      </c>
    </row>
    <row r="30" spans="1:26" s="187" customFormat="1" ht="15.75" thickBot="1">
      <c r="A30" s="177">
        <v>25</v>
      </c>
      <c r="B30" s="178" t="s">
        <v>192</v>
      </c>
      <c r="C30" s="188">
        <v>1</v>
      </c>
      <c r="D30" s="81" t="s">
        <v>65</v>
      </c>
      <c r="E30" s="81" t="s">
        <v>124</v>
      </c>
      <c r="F30" s="81" t="s">
        <v>53</v>
      </c>
      <c r="G30" s="189">
        <v>0.01</v>
      </c>
      <c r="H30" s="81" t="s">
        <v>228</v>
      </c>
      <c r="I30" s="183" t="s">
        <v>292</v>
      </c>
      <c r="J30" s="184">
        <v>0.14000000000000001</v>
      </c>
      <c r="K30" s="184">
        <f>Table1469[[#This Row],[Unit Cost]]*Table1469[[#This Row],[Quantity]]</f>
        <v>0.14000000000000001</v>
      </c>
      <c r="L30" s="184">
        <v>5000</v>
      </c>
      <c r="M30" s="184">
        <f>Table1469[[#This Row],[Quantity]]*Z30-Table1469[[#This Row],[STOCK]]</f>
        <v>-2000</v>
      </c>
      <c r="N30" s="74">
        <f>IF(Table1469[[#This Row],[Interim Value]]&lt;0,0,Table1469[[#This Row],[Interim Value]])</f>
        <v>0</v>
      </c>
      <c r="O30" s="185">
        <f>Table1469[[#This Row],[Kitting Quantity]]*Table1469[[#This Row],[Total]]</f>
        <v>0</v>
      </c>
      <c r="P30" s="186" t="s">
        <v>292</v>
      </c>
      <c r="Q30" s="186" t="s">
        <v>370</v>
      </c>
      <c r="R30" s="190">
        <v>0</v>
      </c>
      <c r="S30" s="1">
        <f>R30*Table1469[[#This Row],[Total]]</f>
        <v>0</v>
      </c>
      <c r="Z30" s="190">
        <f>L1</f>
        <v>3000</v>
      </c>
    </row>
    <row r="31" spans="1:26" s="187" customFormat="1">
      <c r="A31" s="177">
        <v>26</v>
      </c>
      <c r="B31" s="183" t="s">
        <v>123</v>
      </c>
      <c r="C31" s="188">
        <v>1</v>
      </c>
      <c r="D31" s="81" t="s">
        <v>263</v>
      </c>
      <c r="E31" s="81" t="s">
        <v>121</v>
      </c>
      <c r="F31" s="81" t="s">
        <v>53</v>
      </c>
      <c r="G31" s="189">
        <v>0.01</v>
      </c>
      <c r="H31" s="81" t="s">
        <v>228</v>
      </c>
      <c r="I31" s="183" t="s">
        <v>292</v>
      </c>
      <c r="J31" s="184">
        <v>0.14000000000000001</v>
      </c>
      <c r="K31" s="184">
        <f>Table1469[[#This Row],[Unit Cost]]*Table1469[[#This Row],[Quantity]]</f>
        <v>0.14000000000000001</v>
      </c>
      <c r="L31" s="184">
        <v>0</v>
      </c>
      <c r="M31" s="184">
        <f>Table1469[[#This Row],[Quantity]]*Z31-Table1469[[#This Row],[STOCK]]</f>
        <v>3000</v>
      </c>
      <c r="N31" s="74">
        <f>IF(Table1469[[#This Row],[Interim Value]]&lt;0,0,Table1469[[#This Row],[Interim Value]])</f>
        <v>3000</v>
      </c>
      <c r="O31" s="185">
        <f>Table1469[[#This Row],[Kitting Quantity]]*Table1469[[#This Row],[Total]]</f>
        <v>420.00000000000006</v>
      </c>
      <c r="P31" s="186" t="s">
        <v>292</v>
      </c>
      <c r="Q31" s="186" t="s">
        <v>370</v>
      </c>
      <c r="R31" s="190">
        <v>5000</v>
      </c>
      <c r="S31" s="1">
        <f>R31*Table1469[[#This Row],[Total]]</f>
        <v>700.00000000000011</v>
      </c>
      <c r="Z31" s="190">
        <f>L1</f>
        <v>3000</v>
      </c>
    </row>
    <row r="32" spans="1:26">
      <c r="A32" s="24">
        <v>27</v>
      </c>
      <c r="B32" s="11"/>
      <c r="C32" s="35">
        <v>1</v>
      </c>
      <c r="D32" s="36" t="s">
        <v>68</v>
      </c>
      <c r="E32" s="36" t="s">
        <v>98</v>
      </c>
      <c r="F32" s="36" t="s">
        <v>53</v>
      </c>
      <c r="G32" s="77">
        <v>0.01</v>
      </c>
      <c r="H32" s="36" t="s">
        <v>228</v>
      </c>
      <c r="I32" s="72"/>
      <c r="J32" s="74"/>
      <c r="K32" s="74">
        <f>Table1469[[#This Row],[Unit Cost]]*Table1469[[#This Row],[Quantity]]</f>
        <v>0</v>
      </c>
      <c r="L32" s="74">
        <v>0</v>
      </c>
      <c r="M32" s="74">
        <f>Table1469[[#This Row],[Quantity]]*Z32-Table1469[[#This Row],[STOCK]]</f>
        <v>3000</v>
      </c>
      <c r="N32" s="74">
        <f>IF(Table1469[[#This Row],[Interim Value]]&lt;0,0,Table1469[[#This Row],[Interim Value]])</f>
        <v>3000</v>
      </c>
      <c r="O32" s="105">
        <f>Table1469[[#This Row],[Kitting Quantity]]*Table1469[[#This Row],[Total]]</f>
        <v>0</v>
      </c>
      <c r="P32" s="11" t="s">
        <v>292</v>
      </c>
      <c r="Q32" s="11" t="s">
        <v>370</v>
      </c>
      <c r="R32" s="190">
        <v>0</v>
      </c>
      <c r="S32" s="1">
        <f>R32*Table1469[[#This Row],[Total]]</f>
        <v>0</v>
      </c>
      <c r="Z32" s="1">
        <f>L1</f>
        <v>3000</v>
      </c>
    </row>
    <row r="33" spans="1:26">
      <c r="A33" s="24">
        <v>28</v>
      </c>
      <c r="B33" s="72" t="s">
        <v>341</v>
      </c>
      <c r="C33" s="35">
        <v>1</v>
      </c>
      <c r="D33" s="36" t="s">
        <v>264</v>
      </c>
      <c r="E33" s="36" t="s">
        <v>251</v>
      </c>
      <c r="F33" s="36" t="s">
        <v>279</v>
      </c>
      <c r="G33" s="77">
        <v>0.05</v>
      </c>
      <c r="H33" s="36" t="s">
        <v>291</v>
      </c>
      <c r="I33" s="72" t="s">
        <v>172</v>
      </c>
      <c r="J33" s="74">
        <v>16</v>
      </c>
      <c r="K33" s="74">
        <f>Table1469[[#This Row],[Unit Cost]]*Table1469[[#This Row],[Quantity]]</f>
        <v>16</v>
      </c>
      <c r="L33" s="74">
        <v>2863</v>
      </c>
      <c r="M33" s="74">
        <f>Table1469[[#This Row],[Quantity]]*Z33-Table1469[[#This Row],[STOCK]]</f>
        <v>137</v>
      </c>
      <c r="N33" s="74">
        <f>IF(Table1469[[#This Row],[Interim Value]]&lt;0,0,Table1469[[#This Row],[Interim Value]])</f>
        <v>137</v>
      </c>
      <c r="O33" s="105">
        <f>Table1469[[#This Row],[Kitting Quantity]]*Table1469[[#This Row],[Total]]</f>
        <v>2192</v>
      </c>
      <c r="P33" s="11" t="s">
        <v>172</v>
      </c>
      <c r="Q33" s="11" t="s">
        <v>366</v>
      </c>
      <c r="R33" s="1">
        <v>2237</v>
      </c>
      <c r="S33" s="1">
        <f>R33*Table1469[[#This Row],[Total]]</f>
        <v>35792</v>
      </c>
      <c r="Z33" s="1">
        <f>L1</f>
        <v>3000</v>
      </c>
    </row>
    <row r="34" spans="1:26">
      <c r="A34" s="24">
        <v>29</v>
      </c>
      <c r="B34" s="11" t="s">
        <v>333</v>
      </c>
      <c r="C34" s="35">
        <v>1</v>
      </c>
      <c r="D34" s="36" t="s">
        <v>84</v>
      </c>
      <c r="E34" s="36" t="s">
        <v>252</v>
      </c>
      <c r="F34" s="36" t="s">
        <v>280</v>
      </c>
      <c r="G34" s="6"/>
      <c r="H34" s="4" t="s">
        <v>230</v>
      </c>
      <c r="I34" s="6" t="s">
        <v>185</v>
      </c>
      <c r="J34" s="74">
        <v>20</v>
      </c>
      <c r="K34" s="74">
        <f>Table1469[[#This Row],[Unit Cost]]*Table1469[[#This Row],[Quantity]]</f>
        <v>20</v>
      </c>
      <c r="L34" s="74">
        <v>6358</v>
      </c>
      <c r="M34" s="74">
        <f>Table1469[[#This Row],[Quantity]]*Z34-Table1469[[#This Row],[STOCK]]</f>
        <v>-3358</v>
      </c>
      <c r="N34" s="74">
        <f>IF(Table1469[[#This Row],[Interim Value]]&lt;0,0,Table1469[[#This Row],[Interim Value]])</f>
        <v>0</v>
      </c>
      <c r="O34" s="105">
        <f>Table1469[[#This Row],[Kitting Quantity]]*Table1469[[#This Row],[Total]]</f>
        <v>0</v>
      </c>
      <c r="P34" s="11" t="s">
        <v>185</v>
      </c>
      <c r="Q34" s="11" t="s">
        <v>367</v>
      </c>
      <c r="R34" s="1">
        <v>3745</v>
      </c>
      <c r="S34" s="1">
        <f>R34*Table1469[[#This Row],[Total]]</f>
        <v>74900</v>
      </c>
      <c r="Z34" s="1">
        <f>L1</f>
        <v>3000</v>
      </c>
    </row>
    <row r="35" spans="1:26">
      <c r="A35" s="24">
        <v>30</v>
      </c>
      <c r="B35" s="72" t="s">
        <v>334</v>
      </c>
      <c r="C35" s="72">
        <v>1</v>
      </c>
      <c r="D35" s="72"/>
      <c r="E35" s="72" t="s">
        <v>253</v>
      </c>
      <c r="F35" s="72" t="s">
        <v>281</v>
      </c>
      <c r="G35" s="6"/>
      <c r="H35" s="5"/>
      <c r="I35" s="6" t="s">
        <v>234</v>
      </c>
      <c r="J35" s="74">
        <v>8.4</v>
      </c>
      <c r="K35" s="74">
        <f>Table1469[[#This Row],[Unit Cost]]*Table1469[[#This Row],[Quantity]]</f>
        <v>8.4</v>
      </c>
      <c r="L35" s="74">
        <v>0</v>
      </c>
      <c r="M35" s="74">
        <f>Table1469[[#This Row],[Quantity]]*Z35-Table1469[[#This Row],[STOCK]]</f>
        <v>3000</v>
      </c>
      <c r="N35" s="74">
        <f>IF(Table1469[[#This Row],[Interim Value]]&lt;0,0,Table1469[[#This Row],[Interim Value]])</f>
        <v>3000</v>
      </c>
      <c r="O35" s="105">
        <f>Table1469[[#This Row],[Kitting Quantity]]*Table1469[[#This Row],[Total]]</f>
        <v>25200</v>
      </c>
      <c r="P35" s="11" t="s">
        <v>376</v>
      </c>
      <c r="Q35" s="11" t="s">
        <v>370</v>
      </c>
      <c r="R35" s="1">
        <v>5000</v>
      </c>
      <c r="S35" s="1">
        <f>R35*Table1469[[#This Row],[Total]]</f>
        <v>42000</v>
      </c>
      <c r="Z35" s="1">
        <f>L1</f>
        <v>3000</v>
      </c>
    </row>
    <row r="36" spans="1:26">
      <c r="A36" s="24">
        <v>31</v>
      </c>
      <c r="B36" s="84" t="s">
        <v>335</v>
      </c>
      <c r="C36" s="3">
        <v>1</v>
      </c>
      <c r="D36" s="4" t="s">
        <v>254</v>
      </c>
      <c r="E36" s="4" t="s">
        <v>254</v>
      </c>
      <c r="F36" s="6"/>
      <c r="G36" s="6"/>
      <c r="H36" s="5"/>
      <c r="I36" s="6" t="s">
        <v>294</v>
      </c>
      <c r="J36" s="74">
        <v>2.75</v>
      </c>
      <c r="K36" s="74">
        <f>Table1469[[#This Row],[Unit Cost]]*Table1469[[#This Row],[Quantity]]</f>
        <v>2.75</v>
      </c>
      <c r="L36" s="74">
        <v>0</v>
      </c>
      <c r="M36" s="74">
        <f>Table1469[[#This Row],[Quantity]]*Z36-Table1469[[#This Row],[STOCK]]</f>
        <v>3000</v>
      </c>
      <c r="N36" s="74">
        <f>IF(Table1469[[#This Row],[Interim Value]]&lt;0,0,Table1469[[#This Row],[Interim Value]])</f>
        <v>3000</v>
      </c>
      <c r="O36" s="105">
        <f>Table1469[[#This Row],[Kitting Quantity]]*Table1469[[#This Row],[Total]]</f>
        <v>8250</v>
      </c>
      <c r="P36" s="11" t="s">
        <v>377</v>
      </c>
      <c r="Q36" s="11" t="s">
        <v>370</v>
      </c>
      <c r="R36" s="1">
        <v>3250</v>
      </c>
      <c r="S36" s="1">
        <f>R36*Table1469[[#This Row],[Total]]</f>
        <v>8937.5</v>
      </c>
      <c r="Z36" s="1">
        <f>L1</f>
        <v>3000</v>
      </c>
    </row>
    <row r="37" spans="1:26">
      <c r="A37" s="24">
        <v>33</v>
      </c>
      <c r="B37" s="72" t="s">
        <v>353</v>
      </c>
      <c r="C37" s="40">
        <v>1</v>
      </c>
      <c r="D37" s="41"/>
      <c r="E37" s="165" t="s">
        <v>396</v>
      </c>
      <c r="F37" s="4" t="s">
        <v>397</v>
      </c>
      <c r="G37" s="39"/>
      <c r="H37" s="39"/>
      <c r="I37" s="39"/>
      <c r="J37" s="82">
        <v>1</v>
      </c>
      <c r="K37" s="82">
        <f>Table1469[[#This Row],[Unit Cost]]*Table1469[[#This Row],[Quantity]]</f>
        <v>1</v>
      </c>
      <c r="L37" s="82">
        <v>0</v>
      </c>
      <c r="M37" s="82">
        <f>Table1469[[#This Row],[Quantity]]*Z37-Table1469[[#This Row],[STOCK]]</f>
        <v>3000</v>
      </c>
      <c r="N37" s="74">
        <f>IF(Table1469[[#This Row],[Interim Value]]&lt;0,0,Table1469[[#This Row],[Interim Value]])</f>
        <v>3000</v>
      </c>
      <c r="O37" s="82">
        <f>Table1469[[#This Row],[Kitting Quantity]]*Table1469[[#This Row],[Total]]</f>
        <v>3000</v>
      </c>
      <c r="P37" s="11" t="s">
        <v>378</v>
      </c>
      <c r="Q37" s="11" t="s">
        <v>367</v>
      </c>
      <c r="R37" s="1">
        <v>5000</v>
      </c>
      <c r="S37" s="1">
        <f>R37*Table1469[[#This Row],[Total]]</f>
        <v>5000</v>
      </c>
      <c r="Z37" s="1">
        <f>L1</f>
        <v>3000</v>
      </c>
    </row>
    <row r="38" spans="1:26">
      <c r="A38" s="24">
        <v>34</v>
      </c>
      <c r="B38" s="6" t="s">
        <v>352</v>
      </c>
      <c r="C38" s="40">
        <v>1</v>
      </c>
      <c r="D38" s="41"/>
      <c r="E38" s="92" t="s">
        <v>395</v>
      </c>
      <c r="F38" s="164" t="s">
        <v>394</v>
      </c>
      <c r="G38" s="39"/>
      <c r="H38" s="164"/>
      <c r="I38" s="39" t="s">
        <v>315</v>
      </c>
      <c r="J38" s="82">
        <v>9</v>
      </c>
      <c r="K38" s="82">
        <f>Table1469[[#This Row],[Unit Cost]]*Table1469[[#This Row],[Quantity]]</f>
        <v>9</v>
      </c>
      <c r="L38" s="82">
        <v>500</v>
      </c>
      <c r="M38" s="82">
        <f>Table1469[[#This Row],[Quantity]]*Z38-Table1469[[#This Row],[STOCK]]</f>
        <v>2500</v>
      </c>
      <c r="N38" s="74">
        <f>IF(Table1469[[#This Row],[Interim Value]]&lt;0,0,Table1469[[#This Row],[Interim Value]])</f>
        <v>2500</v>
      </c>
      <c r="O38" s="82">
        <f>Table1469[[#This Row],[Kitting Quantity]]*Table1469[[#This Row],[Total]]</f>
        <v>22500</v>
      </c>
      <c r="P38" s="11" t="s">
        <v>379</v>
      </c>
      <c r="Q38" s="11" t="s">
        <v>380</v>
      </c>
      <c r="R38" s="1">
        <v>0</v>
      </c>
      <c r="S38" s="1">
        <f>R38*Table1469[[#This Row],[Total]]</f>
        <v>0</v>
      </c>
      <c r="Z38" s="1">
        <f>L1</f>
        <v>3000</v>
      </c>
    </row>
    <row r="39" spans="1:26">
      <c r="A39" s="24">
        <v>35</v>
      </c>
      <c r="B39" s="72" t="s">
        <v>336</v>
      </c>
      <c r="C39" s="40">
        <v>3</v>
      </c>
      <c r="D39" s="41"/>
      <c r="E39" s="92" t="s">
        <v>355</v>
      </c>
      <c r="F39" s="11" t="s">
        <v>354</v>
      </c>
      <c r="G39" s="39"/>
      <c r="H39" s="39"/>
      <c r="I39" s="39" t="s">
        <v>316</v>
      </c>
      <c r="J39" s="82">
        <v>0.5</v>
      </c>
      <c r="K39" s="82">
        <f>Table1469[[#This Row],[Unit Cost]]*Table1469[[#This Row],[Quantity]]</f>
        <v>1.5</v>
      </c>
      <c r="L39" s="82">
        <v>0</v>
      </c>
      <c r="M39" s="82">
        <f>Table1469[[#This Row],[Quantity]]*Z39-Table1469[[#This Row],[STOCK]]</f>
        <v>9000</v>
      </c>
      <c r="N39" s="74">
        <f>IF(Table1469[[#This Row],[Interim Value]]&lt;0,0,Table1469[[#This Row],[Interim Value]])</f>
        <v>9000</v>
      </c>
      <c r="O39" s="82">
        <f>Table1469[[#This Row],[Kitting Quantity]]*Table1469[[#This Row],[Total]]</f>
        <v>13500</v>
      </c>
      <c r="P39" s="11" t="s">
        <v>381</v>
      </c>
      <c r="Q39" s="11" t="s">
        <v>373</v>
      </c>
      <c r="R39" s="1">
        <v>0</v>
      </c>
      <c r="S39" s="1">
        <f>R39*Table1469[[#This Row],[Total]]</f>
        <v>0</v>
      </c>
      <c r="Z39" s="1">
        <f>L1</f>
        <v>3000</v>
      </c>
    </row>
    <row r="40" spans="1:26">
      <c r="A40" s="42">
        <v>36</v>
      </c>
      <c r="B40" s="72" t="s">
        <v>337</v>
      </c>
      <c r="C40" s="44">
        <v>1</v>
      </c>
      <c r="D40" s="45"/>
      <c r="E40" s="92" t="s">
        <v>356</v>
      </c>
      <c r="F40" s="26" t="s">
        <v>354</v>
      </c>
      <c r="G40" s="43"/>
      <c r="H40" s="43"/>
      <c r="I40" s="43" t="s">
        <v>316</v>
      </c>
      <c r="J40" s="55">
        <v>0.5</v>
      </c>
      <c r="K40" s="55">
        <f>Table1469[[#This Row],[Unit Cost]]*Table1469[[#This Row],[Quantity]]</f>
        <v>0.5</v>
      </c>
      <c r="L40" s="55">
        <v>0</v>
      </c>
      <c r="M40" s="55">
        <f>Table1469[[#This Row],[Quantity]]*Z40-Table1469[[#This Row],[STOCK]]</f>
        <v>3000</v>
      </c>
      <c r="N40" s="74">
        <f>IF(Table1469[[#This Row],[Interim Value]]&lt;0,0,Table1469[[#This Row],[Interim Value]])</f>
        <v>3000</v>
      </c>
      <c r="O40" s="55">
        <f>Table1469[[#This Row],[Kitting Quantity]]*Table1469[[#This Row],[Total]]</f>
        <v>1500</v>
      </c>
      <c r="P40" s="11" t="s">
        <v>381</v>
      </c>
      <c r="Q40" s="11" t="s">
        <v>373</v>
      </c>
      <c r="R40" s="1">
        <v>0</v>
      </c>
      <c r="S40" s="1">
        <f>R40*Table1469[[#This Row],[Total]]</f>
        <v>0</v>
      </c>
      <c r="Z40" s="1">
        <f>L1</f>
        <v>3000</v>
      </c>
    </row>
    <row r="41" spans="1:26">
      <c r="A41" s="25">
        <v>37</v>
      </c>
      <c r="B41" s="72" t="s">
        <v>351</v>
      </c>
      <c r="C41" s="93">
        <v>1</v>
      </c>
      <c r="D41" s="94"/>
      <c r="E41" s="92" t="s">
        <v>350</v>
      </c>
      <c r="F41" s="26"/>
      <c r="G41" s="26"/>
      <c r="H41" s="26"/>
      <c r="I41" s="26"/>
      <c r="J41" s="72">
        <v>1.25</v>
      </c>
      <c r="K41" s="231">
        <f>Table1469[[#This Row],[Unit Cost]]*Table1469[[#This Row],[Quantity]]</f>
        <v>1.25</v>
      </c>
      <c r="L41" s="148">
        <v>0</v>
      </c>
      <c r="M41" s="231">
        <f>Table1469[[#This Row],[Quantity]]*Z41-Table1469[[#This Row],[STOCK]]</f>
        <v>3000</v>
      </c>
      <c r="N41" s="74">
        <f>IF(Table1469[[#This Row],[Interim Value]]&lt;0,0,Table1469[[#This Row],[Interim Value]])</f>
        <v>3000</v>
      </c>
      <c r="O41" s="106">
        <f>Table1469[[#This Row],[Kitting Quantity]]*Table1469[[#This Row],[Total]]</f>
        <v>3750</v>
      </c>
      <c r="P41" s="11"/>
      <c r="Q41" s="11" t="s">
        <v>367</v>
      </c>
      <c r="R41" s="1">
        <v>0</v>
      </c>
      <c r="S41" s="1">
        <f>R41*Table1469[[#This Row],[Total]]</f>
        <v>0</v>
      </c>
      <c r="Z41" s="1">
        <f>L1</f>
        <v>3000</v>
      </c>
    </row>
    <row r="42" spans="1:26">
      <c r="A42" s="25">
        <v>38</v>
      </c>
      <c r="B42" s="72" t="s">
        <v>349</v>
      </c>
      <c r="C42" s="93">
        <v>1</v>
      </c>
      <c r="D42" s="94"/>
      <c r="E42" s="92" t="s">
        <v>348</v>
      </c>
      <c r="F42" s="26"/>
      <c r="G42" s="26"/>
      <c r="H42" s="26"/>
      <c r="I42" s="26"/>
      <c r="J42" s="72">
        <v>0.3</v>
      </c>
      <c r="K42" s="231">
        <f>Table1469[[#This Row],[Unit Cost]]*Table1469[[#This Row],[Quantity]]</f>
        <v>0.3</v>
      </c>
      <c r="L42" s="148">
        <v>0</v>
      </c>
      <c r="M42" s="231">
        <f>Table1469[[#This Row],[Quantity]]*Z42-Table1469[[#This Row],[STOCK]]</f>
        <v>3000</v>
      </c>
      <c r="N42" s="74">
        <f>IF(Table1469[[#This Row],[Interim Value]]&lt;0,0,Table1469[[#This Row],[Interim Value]])</f>
        <v>3000</v>
      </c>
      <c r="O42" s="106">
        <f>Table1469[[#This Row],[Kitting Quantity]]*Table1469[[#This Row],[Total]]</f>
        <v>900</v>
      </c>
      <c r="P42" s="11"/>
      <c r="Q42" s="11" t="s">
        <v>367</v>
      </c>
      <c r="R42" s="1">
        <v>0</v>
      </c>
      <c r="S42" s="1">
        <f>R42*Table1469[[#This Row],[Total]]</f>
        <v>0</v>
      </c>
      <c r="Z42" s="1">
        <f>L1</f>
        <v>3000</v>
      </c>
    </row>
    <row r="43" spans="1:26">
      <c r="A43" s="25">
        <v>39</v>
      </c>
      <c r="B43" s="26"/>
      <c r="C43" s="93">
        <v>1</v>
      </c>
      <c r="D43" s="94"/>
      <c r="E43" s="209" t="s">
        <v>196</v>
      </c>
      <c r="F43" s="26"/>
      <c r="G43" s="26"/>
      <c r="H43" s="26"/>
      <c r="I43" s="26"/>
      <c r="J43" s="106">
        <v>12</v>
      </c>
      <c r="K43" s="106">
        <f>Table1469[[#This Row],[Unit Cost]]*Table1469[[#This Row],[Quantity]]</f>
        <v>12</v>
      </c>
      <c r="L43" s="148">
        <v>0</v>
      </c>
      <c r="M43" s="231">
        <f>Table1469[[#This Row],[Quantity]]*Z43-Table1469[[#This Row],[STOCK]]</f>
        <v>3000</v>
      </c>
      <c r="N43" s="74">
        <f>IF(Table1469[[#This Row],[Interim Value]]&lt;0,0,Table1469[[#This Row],[Interim Value]])</f>
        <v>3000</v>
      </c>
      <c r="O43" s="106">
        <f>Table1469[[#This Row],[Kitting Quantity]]*Table1469[[#This Row],[Total]]</f>
        <v>36000</v>
      </c>
      <c r="P43" s="233"/>
      <c r="Q43" s="11" t="s">
        <v>370</v>
      </c>
      <c r="R43" s="1">
        <v>0</v>
      </c>
      <c r="S43" s="1">
        <f>R43*Table1469[[#This Row],[Total]]</f>
        <v>0</v>
      </c>
      <c r="Z43" s="1">
        <f>L1</f>
        <v>3000</v>
      </c>
    </row>
    <row r="44" spans="1:26">
      <c r="A44" s="361" t="s">
        <v>189</v>
      </c>
      <c r="B44" s="361"/>
      <c r="C44" s="361"/>
      <c r="D44" s="361"/>
      <c r="E44" s="361"/>
      <c r="F44" s="361"/>
      <c r="G44" s="361"/>
      <c r="H44" s="361"/>
      <c r="I44" s="361"/>
      <c r="J44" s="361"/>
      <c r="K44" s="104">
        <f>SUBTOTAL(109,Table1469[Total])</f>
        <v>135.43</v>
      </c>
      <c r="L44" s="104"/>
      <c r="M44" s="339"/>
      <c r="N44" s="339"/>
      <c r="O44" s="107">
        <f>SUM(Table1469[PRICE])</f>
        <v>294251.75</v>
      </c>
    </row>
    <row r="46" spans="1:26" ht="15.75" thickBot="1"/>
    <row r="47" spans="1:26">
      <c r="B47" s="249" t="s">
        <v>509</v>
      </c>
      <c r="C47" s="255">
        <f>K42+K41+K37+K34</f>
        <v>22.55</v>
      </c>
      <c r="J47" s="249" t="s">
        <v>509</v>
      </c>
      <c r="K47" s="255">
        <f>O42+O41+O37+O34</f>
        <v>7650</v>
      </c>
    </row>
    <row r="48" spans="1:26">
      <c r="B48" s="250" t="s">
        <v>492</v>
      </c>
      <c r="C48" s="251">
        <v>0</v>
      </c>
      <c r="J48" s="250" t="s">
        <v>492</v>
      </c>
      <c r="K48" s="251">
        <v>0</v>
      </c>
    </row>
    <row r="49" spans="2:11">
      <c r="B49" s="250" t="s">
        <v>493</v>
      </c>
      <c r="C49" s="253">
        <f>K38</f>
        <v>9</v>
      </c>
      <c r="J49" s="250" t="s">
        <v>493</v>
      </c>
      <c r="K49" s="253">
        <f>O38</f>
        <v>22500</v>
      </c>
    </row>
    <row r="50" spans="2:11">
      <c r="B50" s="250" t="s">
        <v>490</v>
      </c>
      <c r="C50" s="253">
        <f>K40+K39+J12+J11+J9</f>
        <v>6.32</v>
      </c>
      <c r="J50" s="250" t="s">
        <v>490</v>
      </c>
      <c r="K50" s="253">
        <f>O40+O39+O12+O11+O9</f>
        <v>15039.75</v>
      </c>
    </row>
    <row r="51" spans="2:11">
      <c r="B51" s="250" t="s">
        <v>494</v>
      </c>
      <c r="C51" s="253">
        <f>K43+K36+K35+K31+K30+K29+K28+K27+K26+K25+K24+K23+K22+K21+K20+K19+K18+K17+K16+K15+K14+K13+K10+K8+K7+K6</f>
        <v>81.56</v>
      </c>
      <c r="J51" s="250" t="s">
        <v>494</v>
      </c>
      <c r="K51" s="253">
        <f>O43+O36+O35+O31+O30+O29+O28+O27+O26+O25+O24+O23+O22+O21+O20+O19+O18+O17+O16+O15+O14+O13+O10+O8+O7+O6</f>
        <v>246870</v>
      </c>
    </row>
    <row r="52" spans="2:11" ht="15.75" thickBot="1">
      <c r="B52" s="252" t="s">
        <v>495</v>
      </c>
      <c r="C52" s="254">
        <f>K33</f>
        <v>16</v>
      </c>
      <c r="J52" s="252" t="s">
        <v>495</v>
      </c>
      <c r="K52" s="254">
        <f>O33</f>
        <v>2192</v>
      </c>
    </row>
    <row r="53" spans="2:11">
      <c r="C53" s="198">
        <f>SUM(C47:C52)</f>
        <v>135.43</v>
      </c>
      <c r="K53" s="198">
        <f>SUM(K47:K52)</f>
        <v>294251.75</v>
      </c>
    </row>
  </sheetData>
  <mergeCells count="6">
    <mergeCell ref="A1:B1"/>
    <mergeCell ref="C1:D1"/>
    <mergeCell ref="A3:O3"/>
    <mergeCell ref="A4:O4"/>
    <mergeCell ref="A44:J44"/>
    <mergeCell ref="E1:H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M22"/>
  <sheetViews>
    <sheetView tabSelected="1" workbookViewId="0">
      <selection activeCell="G17" sqref="G17:M17"/>
    </sheetView>
  </sheetViews>
  <sheetFormatPr defaultRowHeight="15"/>
  <cols>
    <col min="1" max="1" width="12.85546875" style="127" bestFit="1" customWidth="1"/>
    <col min="2" max="2" width="12.85546875" style="127" customWidth="1"/>
    <col min="3" max="3" width="16.5703125" style="247" bestFit="1" customWidth="1"/>
    <col min="4" max="4" width="11.5703125" style="127" bestFit="1" customWidth="1"/>
    <col min="5" max="5" width="9.140625" style="392"/>
    <col min="6" max="6" width="16.85546875" style="127" bestFit="1" customWidth="1"/>
    <col min="7" max="7" width="11" style="127" customWidth="1"/>
    <col min="8" max="8" width="9.5703125" style="127" bestFit="1" customWidth="1"/>
    <col min="9" max="10" width="9.140625" style="127" customWidth="1"/>
    <col min="11" max="11" width="9.5703125" style="127" bestFit="1" customWidth="1"/>
    <col min="12" max="12" width="10.5703125" style="127" bestFit="1" customWidth="1"/>
    <col min="13" max="13" width="9.5703125" style="127" bestFit="1" customWidth="1"/>
    <col min="14" max="16384" width="9.140625" style="127"/>
  </cols>
  <sheetData>
    <row r="2" spans="1:13" ht="15.75" thickBot="1"/>
    <row r="3" spans="1:13" ht="15.75" thickBot="1">
      <c r="A3" s="371" t="s">
        <v>138</v>
      </c>
      <c r="B3" s="372"/>
      <c r="C3" s="300" t="s">
        <v>486</v>
      </c>
      <c r="D3" s="284" t="s">
        <v>487</v>
      </c>
      <c r="E3" s="342" t="s">
        <v>488</v>
      </c>
      <c r="F3" s="285" t="s">
        <v>489</v>
      </c>
      <c r="H3" s="373" t="s">
        <v>496</v>
      </c>
      <c r="I3" s="374"/>
      <c r="J3" s="374"/>
      <c r="K3" s="374"/>
      <c r="L3" s="374"/>
      <c r="M3" s="375"/>
    </row>
    <row r="4" spans="1:13">
      <c r="A4" s="286"/>
      <c r="B4" s="287"/>
      <c r="C4" s="288"/>
      <c r="D4" s="287"/>
      <c r="E4" s="418"/>
      <c r="F4" s="289"/>
      <c r="H4" s="316" t="s">
        <v>491</v>
      </c>
      <c r="I4" s="317" t="s">
        <v>492</v>
      </c>
      <c r="J4" s="317" t="s">
        <v>493</v>
      </c>
      <c r="K4" s="317" t="s">
        <v>490</v>
      </c>
      <c r="L4" s="317" t="s">
        <v>494</v>
      </c>
      <c r="M4" s="320" t="s">
        <v>495</v>
      </c>
    </row>
    <row r="5" spans="1:13">
      <c r="A5" s="290" t="s">
        <v>198</v>
      </c>
      <c r="B5" s="269">
        <v>300002</v>
      </c>
      <c r="C5" s="78" t="s">
        <v>498</v>
      </c>
      <c r="D5" s="275">
        <f>Table13[[#Totals],[Unit Cost]]</f>
        <v>0</v>
      </c>
      <c r="E5" s="226">
        <v>0</v>
      </c>
      <c r="F5" s="291">
        <f>D5*E5</f>
        <v>0</v>
      </c>
      <c r="H5" s="321">
        <f>'TL 5.4 VER'!G43</f>
        <v>0</v>
      </c>
      <c r="I5" s="319">
        <f>'TL 5.4 VER'!G44</f>
        <v>0</v>
      </c>
      <c r="J5" s="319">
        <f>'TL 5.4 VER'!G45</f>
        <v>0</v>
      </c>
      <c r="K5" s="318">
        <f>'TL 5.4 VER'!G46</f>
        <v>0</v>
      </c>
      <c r="L5" s="318">
        <f>'TL 5.4 VER'!G47</f>
        <v>0</v>
      </c>
      <c r="M5" s="322">
        <f>'TL 5.4 VER'!G48</f>
        <v>0</v>
      </c>
    </row>
    <row r="6" spans="1:13">
      <c r="A6" s="290" t="s">
        <v>190</v>
      </c>
      <c r="B6" s="269">
        <v>310004</v>
      </c>
      <c r="C6" s="78" t="s">
        <v>499</v>
      </c>
      <c r="D6" s="275">
        <f>Table1479101156[[#Totals],[Unit Cost]]</f>
        <v>0</v>
      </c>
      <c r="E6" s="226">
        <v>0</v>
      </c>
      <c r="F6" s="291">
        <f t="shared" ref="F6:F15" si="0">D6*E6</f>
        <v>0</v>
      </c>
      <c r="H6" s="321">
        <f>'TL 5.8 VER'!F50</f>
        <v>0</v>
      </c>
      <c r="I6" s="319">
        <f>'TL 5.8 VER'!F51</f>
        <v>0</v>
      </c>
      <c r="J6" s="318">
        <f>'TL 5.8 VER'!F52</f>
        <v>0</v>
      </c>
      <c r="K6" s="318">
        <f>'TL 5.8 VER'!F53</f>
        <v>0</v>
      </c>
      <c r="L6" s="318">
        <f>'TL 5.8 VER'!F54</f>
        <v>0</v>
      </c>
      <c r="M6" s="322">
        <f>'TL 5.8 VER'!F55</f>
        <v>0</v>
      </c>
    </row>
    <row r="7" spans="1:13">
      <c r="A7" s="290" t="s">
        <v>200</v>
      </c>
      <c r="B7" s="269">
        <v>310045</v>
      </c>
      <c r="C7" s="78" t="s">
        <v>500</v>
      </c>
      <c r="D7" s="275">
        <f>'TL 5.13 VER'!J40</f>
        <v>101.79999999999997</v>
      </c>
      <c r="E7" s="226">
        <v>0</v>
      </c>
      <c r="F7" s="291">
        <f t="shared" si="0"/>
        <v>0</v>
      </c>
      <c r="H7" s="321">
        <f>'TL 5.13 VER'!F44</f>
        <v>0</v>
      </c>
      <c r="I7" s="319">
        <f>'TL 5.13 VER'!F45</f>
        <v>0</v>
      </c>
      <c r="J7" s="319">
        <f>'TL 5.13 VER'!F46</f>
        <v>0</v>
      </c>
      <c r="K7" s="318">
        <f>'TL 5.13 VER'!F47</f>
        <v>0</v>
      </c>
      <c r="L7" s="318">
        <f>'TL 5.13 VER'!F48</f>
        <v>0</v>
      </c>
      <c r="M7" s="322">
        <f>'TL 5.13 VER'!F49</f>
        <v>0</v>
      </c>
    </row>
    <row r="8" spans="1:13">
      <c r="A8" s="290" t="s">
        <v>455</v>
      </c>
      <c r="B8" s="269">
        <v>310040</v>
      </c>
      <c r="C8" s="78" t="s">
        <v>501</v>
      </c>
      <c r="D8" s="275">
        <f>'1-5W300mA'!I24</f>
        <v>48.769999999999989</v>
      </c>
      <c r="E8" s="226">
        <v>11000</v>
      </c>
      <c r="F8" s="291">
        <f t="shared" si="0"/>
        <v>536469.99999999988</v>
      </c>
      <c r="H8" s="321">
        <f>'1-5W300mA'!G26</f>
        <v>154550</v>
      </c>
      <c r="I8" s="319">
        <f>'1-5W300mA'!G27</f>
        <v>0</v>
      </c>
      <c r="J8" s="319">
        <f>'1-5W300mA'!G28</f>
        <v>66000</v>
      </c>
      <c r="K8" s="318">
        <f>'1-5W300mA'!G29</f>
        <v>33000</v>
      </c>
      <c r="L8" s="318">
        <f>'1-5W300mA'!G30</f>
        <v>203720</v>
      </c>
      <c r="M8" s="322">
        <f>'1-5W300mA'!G31</f>
        <v>99000</v>
      </c>
    </row>
    <row r="9" spans="1:13">
      <c r="A9" s="290" t="s">
        <v>402</v>
      </c>
      <c r="B9" s="269">
        <v>310041</v>
      </c>
      <c r="C9" s="78" t="s">
        <v>502</v>
      </c>
      <c r="D9" s="275">
        <f>'1-5W350mA'!I24</f>
        <v>48.769999999999989</v>
      </c>
      <c r="E9" s="226">
        <v>0</v>
      </c>
      <c r="F9" s="291">
        <f t="shared" si="0"/>
        <v>0</v>
      </c>
      <c r="H9" s="321">
        <f>'1-5W350mA'!G28</f>
        <v>0</v>
      </c>
      <c r="I9" s="319">
        <f>'1-5W350mA'!G29</f>
        <v>0</v>
      </c>
      <c r="J9" s="318">
        <f>'1-5W350mA'!G30</f>
        <v>0</v>
      </c>
      <c r="K9" s="318">
        <f>'1-5W350mA'!G31</f>
        <v>0</v>
      </c>
      <c r="L9" s="318">
        <f>'1-5W350mA'!G32</f>
        <v>0</v>
      </c>
      <c r="M9" s="322">
        <f>'1-5W350mA'!G33</f>
        <v>0</v>
      </c>
    </row>
    <row r="10" spans="1:13">
      <c r="A10" s="290" t="s">
        <v>305</v>
      </c>
      <c r="B10" s="269">
        <v>310037</v>
      </c>
      <c r="C10" s="78" t="s">
        <v>503</v>
      </c>
      <c r="D10" s="275">
        <f>'5-9W350mA'!K44</f>
        <v>120.81</v>
      </c>
      <c r="E10" s="226">
        <v>1000</v>
      </c>
      <c r="F10" s="291">
        <f>D10*E10</f>
        <v>120810</v>
      </c>
      <c r="H10" s="321">
        <f>'5-9W350mA'!J48</f>
        <v>21750</v>
      </c>
      <c r="I10" s="319">
        <f>'5-9W350mA'!J49</f>
        <v>0</v>
      </c>
      <c r="J10" s="318">
        <f>'5-9W350mA'!J50</f>
        <v>9000</v>
      </c>
      <c r="K10" s="318">
        <f>'5-9W350mA'!J51</f>
        <v>21630</v>
      </c>
      <c r="L10" s="318">
        <f>'5-9W350mA'!J52</f>
        <v>59100</v>
      </c>
      <c r="M10" s="322">
        <f>'5-9W350mA'!J53</f>
        <v>12000</v>
      </c>
    </row>
    <row r="11" spans="1:13">
      <c r="A11" s="290" t="s">
        <v>468</v>
      </c>
      <c r="B11" s="269">
        <v>310044</v>
      </c>
      <c r="C11" s="78" t="s">
        <v>504</v>
      </c>
      <c r="D11" s="275">
        <f>'10-17W300mA'!K44</f>
        <v>136.26</v>
      </c>
      <c r="E11" s="226">
        <v>1000</v>
      </c>
      <c r="F11" s="291">
        <f t="shared" si="0"/>
        <v>136260</v>
      </c>
      <c r="H11" s="321">
        <f>'10-17W300mA'!J48</f>
        <v>21750</v>
      </c>
      <c r="I11" s="319">
        <f>'10-17W300mA'!J49</f>
        <v>0</v>
      </c>
      <c r="J11" s="318">
        <f>'10-17W300mA'!J50</f>
        <v>9000</v>
      </c>
      <c r="K11" s="318">
        <f>'10-17W300mA'!J51</f>
        <v>29250</v>
      </c>
      <c r="L11" s="318">
        <f>'10-17W300mA'!J52</f>
        <v>88940</v>
      </c>
      <c r="M11" s="322">
        <f>'10-17W300mA'!J53</f>
        <v>16000</v>
      </c>
    </row>
    <row r="12" spans="1:13">
      <c r="A12" s="290" t="s">
        <v>467</v>
      </c>
      <c r="B12" s="269">
        <v>310042</v>
      </c>
      <c r="C12" s="78" t="s">
        <v>505</v>
      </c>
      <c r="D12" s="275">
        <f>'10-15W350mA'!K44</f>
        <v>136.26</v>
      </c>
      <c r="E12" s="226">
        <v>3000</v>
      </c>
      <c r="F12" s="291">
        <f t="shared" si="0"/>
        <v>408780</v>
      </c>
      <c r="H12" s="321">
        <f>'10-15W350mA'!J47</f>
        <v>65250</v>
      </c>
      <c r="I12" s="319">
        <f>'10-15W350mA'!J48</f>
        <v>0</v>
      </c>
      <c r="J12" s="318">
        <f>'10-15W350mA'!J49</f>
        <v>27000</v>
      </c>
      <c r="K12" s="318">
        <f>'10-15W350mA'!J50</f>
        <v>87750</v>
      </c>
      <c r="L12" s="318">
        <f>'10-15W350mA'!J51</f>
        <v>266820</v>
      </c>
      <c r="M12" s="322">
        <f>'10-15W350mA'!J52</f>
        <v>48000</v>
      </c>
    </row>
    <row r="13" spans="1:13">
      <c r="A13" s="290" t="s">
        <v>304</v>
      </c>
      <c r="B13" s="269">
        <v>310039</v>
      </c>
      <c r="C13" s="78" t="s">
        <v>506</v>
      </c>
      <c r="D13" s="275">
        <f>'10-15W450mA'!K44</f>
        <v>123.77</v>
      </c>
      <c r="E13" s="226">
        <v>1000</v>
      </c>
      <c r="F13" s="291">
        <f t="shared" si="0"/>
        <v>123770</v>
      </c>
      <c r="H13" s="321">
        <f>'10-15W450mA'!J48</f>
        <v>22550</v>
      </c>
      <c r="I13" s="319">
        <f>'10-15W450mA'!J49</f>
        <v>0</v>
      </c>
      <c r="J13" s="318">
        <f>'10-15W450mA'!J50</f>
        <v>9000</v>
      </c>
      <c r="K13" s="318">
        <f>'10-15W450mA'!J51</f>
        <v>29250</v>
      </c>
      <c r="L13" s="318">
        <f>'10-15W450mA'!J52</f>
        <v>73270</v>
      </c>
      <c r="M13" s="322">
        <f>'10-15W450mA'!J53</f>
        <v>16000</v>
      </c>
    </row>
    <row r="14" spans="1:13">
      <c r="A14" s="290" t="s">
        <v>303</v>
      </c>
      <c r="B14" s="269">
        <v>310038</v>
      </c>
      <c r="C14" s="78" t="s">
        <v>507</v>
      </c>
      <c r="D14" s="275">
        <f>'15-20W300mA'!K44</f>
        <v>124.33</v>
      </c>
      <c r="E14" s="226">
        <v>0</v>
      </c>
      <c r="F14" s="291">
        <f t="shared" si="0"/>
        <v>0</v>
      </c>
      <c r="H14" s="321">
        <f>'15-20W300mA'!J48</f>
        <v>127160</v>
      </c>
      <c r="I14" s="319">
        <f>'15-20W300mA'!J49</f>
        <v>0</v>
      </c>
      <c r="J14" s="318">
        <f>'15-20W300mA'!J50</f>
        <v>4500</v>
      </c>
      <c r="K14" s="318">
        <f>'15-20W300mA'!J51</f>
        <v>17400.25</v>
      </c>
      <c r="L14" s="318">
        <f>'15-20W300mA'!J52</f>
        <v>142050</v>
      </c>
      <c r="M14" s="322">
        <f>'15-20W300mA'!J53</f>
        <v>45808</v>
      </c>
    </row>
    <row r="15" spans="1:13" ht="15.75" thickBot="1">
      <c r="A15" s="292" t="s">
        <v>466</v>
      </c>
      <c r="B15" s="293">
        <v>310043</v>
      </c>
      <c r="C15" s="294" t="s">
        <v>508</v>
      </c>
      <c r="D15" s="295">
        <f>'15-20W350mA'!K44</f>
        <v>135.43</v>
      </c>
      <c r="E15" s="419">
        <v>3000</v>
      </c>
      <c r="F15" s="296">
        <f t="shared" si="0"/>
        <v>406290</v>
      </c>
      <c r="H15" s="323">
        <f>'15-20W350mA'!K47</f>
        <v>7650</v>
      </c>
      <c r="I15" s="324">
        <f>'15-20W350mA'!K48</f>
        <v>0</v>
      </c>
      <c r="J15" s="325">
        <f>'15-20W350mA'!K49</f>
        <v>22500</v>
      </c>
      <c r="K15" s="325">
        <f>'15-20W350mA'!K50</f>
        <v>15039.75</v>
      </c>
      <c r="L15" s="325">
        <f>'15-20W350mA'!K51</f>
        <v>246870</v>
      </c>
      <c r="M15" s="326">
        <f>'15-20W350mA'!K52</f>
        <v>2192</v>
      </c>
    </row>
    <row r="16" spans="1:13" ht="15.75" thickBot="1">
      <c r="A16" s="420"/>
      <c r="B16" s="420"/>
      <c r="C16" s="288"/>
      <c r="D16" s="421"/>
      <c r="E16" s="222"/>
      <c r="F16" s="422"/>
      <c r="H16" s="423"/>
      <c r="I16" s="287"/>
      <c r="J16" s="423"/>
      <c r="K16" s="423"/>
      <c r="L16" s="423"/>
      <c r="M16" s="423"/>
    </row>
    <row r="17" spans="1:13" ht="15.75" thickBot="1">
      <c r="A17" s="246"/>
      <c r="B17" s="246"/>
      <c r="G17" s="424" t="s">
        <v>409</v>
      </c>
      <c r="H17" s="425">
        <f>SUM(H5:H15)</f>
        <v>420660</v>
      </c>
      <c r="I17" s="426">
        <f>SUM(I5:I15)</f>
        <v>0</v>
      </c>
      <c r="J17" s="426">
        <f>SUM(J5:J15)</f>
        <v>147000</v>
      </c>
      <c r="K17" s="425">
        <f>SUM(K5:K15)</f>
        <v>233320</v>
      </c>
      <c r="L17" s="425">
        <f>SUM(L5:L15)</f>
        <v>1080770</v>
      </c>
      <c r="M17" s="427">
        <f>SUM(M5:M15)</f>
        <v>239000</v>
      </c>
    </row>
    <row r="18" spans="1:13">
      <c r="A18" s="246"/>
      <c r="B18" s="246"/>
    </row>
    <row r="19" spans="1:13">
      <c r="A19" s="246"/>
      <c r="B19" s="246"/>
    </row>
    <row r="20" spans="1:13" ht="15.75" thickBot="1">
      <c r="A20" s="246"/>
      <c r="B20" s="246"/>
    </row>
    <row r="21" spans="1:13" ht="15.75" thickBot="1">
      <c r="A21" s="297"/>
      <c r="B21" s="301" t="s">
        <v>510</v>
      </c>
      <c r="C21" s="302"/>
    </row>
    <row r="22" spans="1:13">
      <c r="A22" s="246"/>
      <c r="B22" s="246"/>
    </row>
  </sheetData>
  <mergeCells count="2">
    <mergeCell ref="A3:B3"/>
    <mergeCell ref="H3:M3"/>
  </mergeCells>
  <pageMargins left="0.7" right="0.7" top="0.75" bottom="0.75" header="0.3" footer="0.3"/>
  <pageSetup scale="68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S21"/>
  <sheetViews>
    <sheetView workbookViewId="0">
      <selection activeCell="G23" sqref="G23"/>
    </sheetView>
  </sheetViews>
  <sheetFormatPr defaultRowHeight="15"/>
  <cols>
    <col min="1" max="1" width="12.85546875" style="127" bestFit="1" customWidth="1"/>
    <col min="2" max="2" width="12.85546875" style="127" customWidth="1"/>
    <col min="3" max="3" width="16.5703125" style="247" bestFit="1" customWidth="1"/>
    <col min="4" max="4" width="11.5703125" style="127" bestFit="1" customWidth="1"/>
    <col min="5" max="5" width="9.140625" style="303"/>
    <col min="6" max="6" width="16.85546875" style="127" bestFit="1" customWidth="1"/>
    <col min="7" max="7" width="11" style="127" customWidth="1"/>
    <col min="8" max="13" width="9.140625" style="127" hidden="1" customWidth="1"/>
    <col min="14" max="14" width="15.28515625" style="127" bestFit="1" customWidth="1"/>
    <col min="15" max="15" width="9.28515625" style="127" bestFit="1" customWidth="1"/>
    <col min="16" max="17" width="15.28515625" style="127" bestFit="1" customWidth="1"/>
    <col min="18" max="18" width="16.85546875" style="127" bestFit="1" customWidth="1"/>
    <col min="19" max="19" width="15.28515625" style="127" bestFit="1" customWidth="1"/>
    <col min="20" max="16384" width="9.140625" style="127"/>
  </cols>
  <sheetData>
    <row r="2" spans="1:19" ht="15.75" thickBot="1"/>
    <row r="3" spans="1:19" ht="15.75" thickBot="1">
      <c r="A3" s="371" t="s">
        <v>138</v>
      </c>
      <c r="B3" s="372"/>
      <c r="C3" s="283" t="s">
        <v>486</v>
      </c>
      <c r="D3" s="284" t="s">
        <v>487</v>
      </c>
      <c r="E3" s="304" t="s">
        <v>488</v>
      </c>
      <c r="F3" s="285" t="s">
        <v>489</v>
      </c>
      <c r="H3" s="373" t="s">
        <v>496</v>
      </c>
      <c r="I3" s="374"/>
      <c r="J3" s="374"/>
      <c r="K3" s="374"/>
      <c r="L3" s="374"/>
      <c r="M3" s="374"/>
      <c r="N3" s="376" t="s">
        <v>496</v>
      </c>
      <c r="O3" s="377"/>
      <c r="P3" s="377"/>
      <c r="Q3" s="377"/>
      <c r="R3" s="377"/>
      <c r="S3" s="378"/>
    </row>
    <row r="4" spans="1:19" ht="15.75" thickBot="1">
      <c r="A4" s="286"/>
      <c r="B4" s="287"/>
      <c r="C4" s="288"/>
      <c r="D4" s="287"/>
      <c r="E4" s="305"/>
      <c r="F4" s="289"/>
      <c r="H4" s="256" t="s">
        <v>491</v>
      </c>
      <c r="I4" s="257" t="s">
        <v>492</v>
      </c>
      <c r="J4" s="257" t="s">
        <v>493</v>
      </c>
      <c r="K4" s="257" t="s">
        <v>490</v>
      </c>
      <c r="L4" s="257" t="s">
        <v>494</v>
      </c>
      <c r="M4" s="257" t="s">
        <v>495</v>
      </c>
      <c r="N4" s="276" t="s">
        <v>491</v>
      </c>
      <c r="O4" s="72" t="s">
        <v>492</v>
      </c>
      <c r="P4" s="72" t="s">
        <v>493</v>
      </c>
      <c r="Q4" s="72" t="s">
        <v>490</v>
      </c>
      <c r="R4" s="72" t="s">
        <v>494</v>
      </c>
      <c r="S4" s="277" t="s">
        <v>495</v>
      </c>
    </row>
    <row r="5" spans="1:19">
      <c r="A5" s="290" t="s">
        <v>198</v>
      </c>
      <c r="B5" s="269">
        <v>300002</v>
      </c>
      <c r="C5" s="78" t="s">
        <v>498</v>
      </c>
      <c r="D5" s="275">
        <f>Table13[[#Totals],[Unit Cost]]</f>
        <v>0</v>
      </c>
      <c r="E5" s="120">
        <v>2000</v>
      </c>
      <c r="F5" s="291">
        <f>D5*E5</f>
        <v>0</v>
      </c>
      <c r="H5" s="248">
        <f>'TL 5.4 VER'!C43</f>
        <v>15</v>
      </c>
      <c r="I5" s="127">
        <f>'TL 5.4 VER'!C44</f>
        <v>0</v>
      </c>
      <c r="J5" s="127">
        <f>'TL 5.4 VER'!C45</f>
        <v>0</v>
      </c>
      <c r="K5" s="248">
        <f>'TL 5.4 VER'!C46</f>
        <v>9.3000000000000007</v>
      </c>
      <c r="L5" s="248">
        <f>'TL 5.4 VER'!C47</f>
        <v>54.100000000000009</v>
      </c>
      <c r="M5" s="248">
        <f>'TL 5.4 VER'!C48</f>
        <v>7.5</v>
      </c>
      <c r="N5" s="278">
        <f t="shared" ref="N5:N15" si="0">E5*H5</f>
        <v>30000</v>
      </c>
      <c r="O5" s="270">
        <f t="shared" ref="O5:O15" si="1">E5*I5</f>
        <v>0</v>
      </c>
      <c r="P5" s="270">
        <f t="shared" ref="P5:P15" si="2">E5*J5</f>
        <v>0</v>
      </c>
      <c r="Q5" s="270">
        <f t="shared" ref="Q5:Q15" si="3">E5*K5</f>
        <v>18600</v>
      </c>
      <c r="R5" s="270">
        <f t="shared" ref="R5:R15" si="4">E5*L5</f>
        <v>108200.00000000001</v>
      </c>
      <c r="S5" s="279">
        <f t="shared" ref="S5:S15" si="5">E5*M5</f>
        <v>15000</v>
      </c>
    </row>
    <row r="6" spans="1:19">
      <c r="A6" s="290" t="s">
        <v>190</v>
      </c>
      <c r="B6" s="269">
        <v>310004</v>
      </c>
      <c r="C6" s="78" t="s">
        <v>499</v>
      </c>
      <c r="D6" s="275">
        <f>Table1479101156[[#Totals],[Unit Cost]]</f>
        <v>0</v>
      </c>
      <c r="E6" s="120">
        <v>5000</v>
      </c>
      <c r="F6" s="291">
        <f t="shared" ref="F6:F15" si="6">D6*E6</f>
        <v>0</v>
      </c>
      <c r="H6" s="248">
        <f>'TL 5.8 VER'!C50</f>
        <v>18.699999999999996</v>
      </c>
      <c r="I6" s="127">
        <f>'TL 5.8 VER'!C51</f>
        <v>0</v>
      </c>
      <c r="J6" s="248">
        <f>'TL 5.8 VER'!C52</f>
        <v>0</v>
      </c>
      <c r="K6" s="248">
        <f>'TL 5.8 VER'!C53</f>
        <v>11.3</v>
      </c>
      <c r="L6" s="248">
        <f>'TL 5.8 VER'!C54</f>
        <v>59.7</v>
      </c>
      <c r="M6" s="248">
        <f>'TL 5.8 VER'!C55</f>
        <v>7.5</v>
      </c>
      <c r="N6" s="278">
        <f t="shared" si="0"/>
        <v>93499.999999999985</v>
      </c>
      <c r="O6" s="270">
        <f t="shared" si="1"/>
        <v>0</v>
      </c>
      <c r="P6" s="270">
        <f t="shared" si="2"/>
        <v>0</v>
      </c>
      <c r="Q6" s="270">
        <f t="shared" si="3"/>
        <v>56500</v>
      </c>
      <c r="R6" s="270">
        <f t="shared" si="4"/>
        <v>298500</v>
      </c>
      <c r="S6" s="279">
        <f t="shared" si="5"/>
        <v>37500</v>
      </c>
    </row>
    <row r="7" spans="1:19">
      <c r="A7" s="290" t="s">
        <v>200</v>
      </c>
      <c r="B7" s="269">
        <v>310045</v>
      </c>
      <c r="C7" s="78" t="s">
        <v>500</v>
      </c>
      <c r="D7" s="275">
        <f>'TL 5.13 VER'!J40</f>
        <v>101.79999999999997</v>
      </c>
      <c r="E7" s="120">
        <v>0</v>
      </c>
      <c r="F7" s="291">
        <f t="shared" si="6"/>
        <v>0</v>
      </c>
      <c r="H7" s="248">
        <f>'TL 5.13 VER'!C44</f>
        <v>21.900000000000002</v>
      </c>
      <c r="I7" s="127">
        <f>'TL 5.13 VER'!C45</f>
        <v>0</v>
      </c>
      <c r="J7" s="127">
        <f>'TL 5.13 VER'!C46</f>
        <v>0</v>
      </c>
      <c r="K7" s="248">
        <f>'TL 5.13 VER'!C47</f>
        <v>0</v>
      </c>
      <c r="L7" s="248">
        <f>'TL 5.13 VER'!C48</f>
        <v>79.899999999999963</v>
      </c>
      <c r="M7" s="248">
        <f>'TL 5.13 VER'!C49</f>
        <v>15</v>
      </c>
      <c r="N7" s="278">
        <f t="shared" si="0"/>
        <v>0</v>
      </c>
      <c r="O7" s="270">
        <f t="shared" si="1"/>
        <v>0</v>
      </c>
      <c r="P7" s="270">
        <f t="shared" si="2"/>
        <v>0</v>
      </c>
      <c r="Q7" s="270">
        <f t="shared" si="3"/>
        <v>0</v>
      </c>
      <c r="R7" s="270">
        <f t="shared" si="4"/>
        <v>0</v>
      </c>
      <c r="S7" s="279">
        <f t="shared" si="5"/>
        <v>0</v>
      </c>
    </row>
    <row r="8" spans="1:19">
      <c r="A8" s="290" t="s">
        <v>455</v>
      </c>
      <c r="B8" s="269">
        <v>310040</v>
      </c>
      <c r="C8" s="78" t="s">
        <v>501</v>
      </c>
      <c r="D8" s="275">
        <f>'1-5W300mA'!I24</f>
        <v>48.769999999999989</v>
      </c>
      <c r="E8" s="120">
        <v>11000</v>
      </c>
      <c r="F8" s="291">
        <f t="shared" si="6"/>
        <v>536469.99999999988</v>
      </c>
      <c r="H8" s="248">
        <f>'1-5W300mA'!D26</f>
        <v>14.05</v>
      </c>
      <c r="I8" s="127">
        <f>'1-5W300mA'!D27</f>
        <v>0</v>
      </c>
      <c r="J8" s="127">
        <f>'1-5W300mA'!D28</f>
        <v>6</v>
      </c>
      <c r="K8" s="248">
        <f>'1-5W300mA'!D29</f>
        <v>1.2</v>
      </c>
      <c r="L8" s="248">
        <f>'1-5W300mA'!D30</f>
        <v>18.52</v>
      </c>
      <c r="M8" s="248">
        <f>'1-5W300mA'!D31</f>
        <v>9</v>
      </c>
      <c r="N8" s="278">
        <f t="shared" si="0"/>
        <v>154550</v>
      </c>
      <c r="O8" s="270">
        <f t="shared" si="1"/>
        <v>0</v>
      </c>
      <c r="P8" s="270">
        <f t="shared" si="2"/>
        <v>66000</v>
      </c>
      <c r="Q8" s="270">
        <f t="shared" si="3"/>
        <v>13200</v>
      </c>
      <c r="R8" s="270">
        <f t="shared" si="4"/>
        <v>203720</v>
      </c>
      <c r="S8" s="279">
        <f t="shared" si="5"/>
        <v>99000</v>
      </c>
    </row>
    <row r="9" spans="1:19">
      <c r="A9" s="290" t="s">
        <v>402</v>
      </c>
      <c r="B9" s="269">
        <v>310041</v>
      </c>
      <c r="C9" s="78" t="s">
        <v>502</v>
      </c>
      <c r="D9" s="275">
        <f>'1-5W350mA'!I24</f>
        <v>48.769999999999989</v>
      </c>
      <c r="E9" s="120">
        <v>0</v>
      </c>
      <c r="F9" s="291">
        <f t="shared" si="6"/>
        <v>0</v>
      </c>
      <c r="H9" s="248">
        <f>'1-5W350mA'!D28</f>
        <v>14.05</v>
      </c>
      <c r="I9" s="127">
        <f>'1-5W350mA'!D29</f>
        <v>0</v>
      </c>
      <c r="J9" s="248">
        <f>'1-5W350mA'!D30</f>
        <v>6</v>
      </c>
      <c r="K9" s="248">
        <f>'1-5W350mA'!D31</f>
        <v>1.2</v>
      </c>
      <c r="L9" s="248">
        <f>'1-5W350mA'!D32</f>
        <v>18.52</v>
      </c>
      <c r="M9" s="248">
        <f>'1-5W350mA'!D33</f>
        <v>9</v>
      </c>
      <c r="N9" s="278">
        <f t="shared" si="0"/>
        <v>0</v>
      </c>
      <c r="O9" s="270">
        <f t="shared" si="1"/>
        <v>0</v>
      </c>
      <c r="P9" s="270">
        <f t="shared" si="2"/>
        <v>0</v>
      </c>
      <c r="Q9" s="270">
        <f t="shared" si="3"/>
        <v>0</v>
      </c>
      <c r="R9" s="270">
        <f t="shared" si="4"/>
        <v>0</v>
      </c>
      <c r="S9" s="279">
        <f t="shared" si="5"/>
        <v>0</v>
      </c>
    </row>
    <row r="10" spans="1:19">
      <c r="A10" s="290" t="s">
        <v>305</v>
      </c>
      <c r="B10" s="269">
        <v>310037</v>
      </c>
      <c r="C10" s="78" t="s">
        <v>503</v>
      </c>
      <c r="D10" s="275">
        <f>'5-9W350mA'!K44</f>
        <v>120.81</v>
      </c>
      <c r="E10" s="120">
        <v>1000</v>
      </c>
      <c r="F10" s="291">
        <f t="shared" si="6"/>
        <v>120810</v>
      </c>
      <c r="H10" s="248">
        <f>'5-9W350mA'!C48</f>
        <v>37.25</v>
      </c>
      <c r="I10" s="127">
        <f>'5-9W350mA'!C49</f>
        <v>0</v>
      </c>
      <c r="J10" s="248">
        <f>'5-9W350mA'!C50</f>
        <v>9</v>
      </c>
      <c r="K10" s="248">
        <f>'5-9W350mA'!C51</f>
        <v>15.31</v>
      </c>
      <c r="L10" s="248">
        <f>'5-9W350mA'!C52</f>
        <v>47.25</v>
      </c>
      <c r="M10" s="248">
        <f>'5-9W350mA'!C53</f>
        <v>12</v>
      </c>
      <c r="N10" s="278">
        <f t="shared" si="0"/>
        <v>37250</v>
      </c>
      <c r="O10" s="270">
        <f t="shared" si="1"/>
        <v>0</v>
      </c>
      <c r="P10" s="270">
        <f t="shared" si="2"/>
        <v>9000</v>
      </c>
      <c r="Q10" s="270">
        <f t="shared" si="3"/>
        <v>15310</v>
      </c>
      <c r="R10" s="270">
        <f t="shared" si="4"/>
        <v>47250</v>
      </c>
      <c r="S10" s="279">
        <f t="shared" si="5"/>
        <v>12000</v>
      </c>
    </row>
    <row r="11" spans="1:19">
      <c r="A11" s="290" t="s">
        <v>468</v>
      </c>
      <c r="B11" s="269">
        <v>310044</v>
      </c>
      <c r="C11" s="78" t="s">
        <v>504</v>
      </c>
      <c r="D11" s="275">
        <f>'10-17W300mA'!K44</f>
        <v>136.26</v>
      </c>
      <c r="E11" s="120">
        <v>1000</v>
      </c>
      <c r="F11" s="291">
        <f t="shared" si="6"/>
        <v>136260</v>
      </c>
      <c r="H11" s="248">
        <f>'10-17W300mA'!C48</f>
        <v>21.75</v>
      </c>
      <c r="I11" s="127">
        <f>'10-17W300mA'!C49</f>
        <v>0</v>
      </c>
      <c r="J11" s="248">
        <f>'10-17W300mA'!C50</f>
        <v>9</v>
      </c>
      <c r="K11" s="248">
        <f>'10-17W300mA'!C51</f>
        <v>16.25</v>
      </c>
      <c r="L11" s="248">
        <f>'10-17W300mA'!C52</f>
        <v>73.259999999999991</v>
      </c>
      <c r="M11" s="248">
        <f>'10-17W300mA'!C53</f>
        <v>16</v>
      </c>
      <c r="N11" s="278">
        <f t="shared" si="0"/>
        <v>21750</v>
      </c>
      <c r="O11" s="270">
        <f t="shared" si="1"/>
        <v>0</v>
      </c>
      <c r="P11" s="270">
        <f t="shared" si="2"/>
        <v>9000</v>
      </c>
      <c r="Q11" s="270">
        <f t="shared" si="3"/>
        <v>16250</v>
      </c>
      <c r="R11" s="270">
        <f t="shared" si="4"/>
        <v>73259.999999999985</v>
      </c>
      <c r="S11" s="279">
        <f t="shared" si="5"/>
        <v>16000</v>
      </c>
    </row>
    <row r="12" spans="1:19">
      <c r="A12" s="290" t="s">
        <v>467</v>
      </c>
      <c r="B12" s="269">
        <v>310042</v>
      </c>
      <c r="C12" s="78" t="s">
        <v>505</v>
      </c>
      <c r="D12" s="275">
        <f>'10-15W350mA'!K44</f>
        <v>136.26</v>
      </c>
      <c r="E12" s="120">
        <v>8000</v>
      </c>
      <c r="F12" s="291">
        <f t="shared" si="6"/>
        <v>1090080</v>
      </c>
      <c r="H12" s="248">
        <f>'10-15W350mA'!C47</f>
        <v>21.75</v>
      </c>
      <c r="I12" s="127">
        <f>'10-15W350mA'!C48</f>
        <v>0</v>
      </c>
      <c r="J12" s="248">
        <f>'10-15W350mA'!C49</f>
        <v>9</v>
      </c>
      <c r="K12" s="248">
        <f>'10-15W350mA'!C50</f>
        <v>16.25</v>
      </c>
      <c r="L12" s="248">
        <f>'10-15W350mA'!C51</f>
        <v>73.259999999999991</v>
      </c>
      <c r="M12" s="248">
        <f>'10-15W350mA'!C52</f>
        <v>16</v>
      </c>
      <c r="N12" s="278">
        <f t="shared" si="0"/>
        <v>174000</v>
      </c>
      <c r="O12" s="270">
        <f t="shared" si="1"/>
        <v>0</v>
      </c>
      <c r="P12" s="270">
        <f t="shared" si="2"/>
        <v>72000</v>
      </c>
      <c r="Q12" s="270">
        <f t="shared" si="3"/>
        <v>130000</v>
      </c>
      <c r="R12" s="270">
        <f t="shared" si="4"/>
        <v>586079.99999999988</v>
      </c>
      <c r="S12" s="279">
        <f t="shared" si="5"/>
        <v>128000</v>
      </c>
    </row>
    <row r="13" spans="1:19">
      <c r="A13" s="290" t="s">
        <v>304</v>
      </c>
      <c r="B13" s="269">
        <v>310039</v>
      </c>
      <c r="C13" s="78" t="s">
        <v>506</v>
      </c>
      <c r="D13" s="275">
        <f>'10-15W450mA'!K44</f>
        <v>123.77</v>
      </c>
      <c r="E13" s="120">
        <v>1000</v>
      </c>
      <c r="F13" s="291">
        <f t="shared" si="6"/>
        <v>123770</v>
      </c>
      <c r="H13" s="248">
        <f>'10-15W450mA'!C48</f>
        <v>22.55</v>
      </c>
      <c r="I13" s="127">
        <f>'10-15W450mA'!C49</f>
        <v>0</v>
      </c>
      <c r="J13" s="248">
        <f>'10-15W450mA'!C50</f>
        <v>9</v>
      </c>
      <c r="K13" s="248">
        <f>'10-15W450mA'!C51</f>
        <v>16.25</v>
      </c>
      <c r="L13" s="248">
        <f>'10-15W450mA'!C52</f>
        <v>59.97</v>
      </c>
      <c r="M13" s="248">
        <f>'10-15W450mA'!C53</f>
        <v>16</v>
      </c>
      <c r="N13" s="278">
        <f t="shared" si="0"/>
        <v>22550</v>
      </c>
      <c r="O13" s="270">
        <f t="shared" si="1"/>
        <v>0</v>
      </c>
      <c r="P13" s="270">
        <f t="shared" si="2"/>
        <v>9000</v>
      </c>
      <c r="Q13" s="270">
        <f t="shared" si="3"/>
        <v>16250</v>
      </c>
      <c r="R13" s="270">
        <f t="shared" si="4"/>
        <v>59970</v>
      </c>
      <c r="S13" s="279">
        <f t="shared" si="5"/>
        <v>16000</v>
      </c>
    </row>
    <row r="14" spans="1:19">
      <c r="A14" s="290" t="s">
        <v>303</v>
      </c>
      <c r="B14" s="269">
        <v>310038</v>
      </c>
      <c r="C14" s="78" t="s">
        <v>507</v>
      </c>
      <c r="D14" s="275">
        <f>'15-20W300mA'!K44</f>
        <v>124.33</v>
      </c>
      <c r="E14" s="120">
        <v>0</v>
      </c>
      <c r="F14" s="291">
        <f t="shared" si="6"/>
        <v>0</v>
      </c>
      <c r="H14" s="248">
        <f>'15-20W300mA'!C48</f>
        <v>22.55</v>
      </c>
      <c r="I14" s="127">
        <f>'15-20W300mA'!C49</f>
        <v>0</v>
      </c>
      <c r="J14" s="248">
        <f>'15-20W300mA'!C50</f>
        <v>9</v>
      </c>
      <c r="K14" s="248">
        <f>'15-20W300mA'!C51</f>
        <v>6.32</v>
      </c>
      <c r="L14" s="248">
        <f>'15-20W300mA'!C52</f>
        <v>70.45999999999998</v>
      </c>
      <c r="M14" s="248">
        <f>'15-20W300mA'!C53</f>
        <v>16</v>
      </c>
      <c r="N14" s="278">
        <f t="shared" si="0"/>
        <v>0</v>
      </c>
      <c r="O14" s="270">
        <f t="shared" si="1"/>
        <v>0</v>
      </c>
      <c r="P14" s="270">
        <f t="shared" si="2"/>
        <v>0</v>
      </c>
      <c r="Q14" s="270">
        <f t="shared" si="3"/>
        <v>0</v>
      </c>
      <c r="R14" s="270">
        <f t="shared" si="4"/>
        <v>0</v>
      </c>
      <c r="S14" s="279">
        <f t="shared" si="5"/>
        <v>0</v>
      </c>
    </row>
    <row r="15" spans="1:19" ht="15.75" thickBot="1">
      <c r="A15" s="292" t="s">
        <v>466</v>
      </c>
      <c r="B15" s="293">
        <v>310043</v>
      </c>
      <c r="C15" s="294" t="s">
        <v>508</v>
      </c>
      <c r="D15" s="295">
        <f>'15-20W350mA'!K44</f>
        <v>135.43</v>
      </c>
      <c r="E15" s="306">
        <v>3000</v>
      </c>
      <c r="F15" s="296">
        <f t="shared" si="6"/>
        <v>406290</v>
      </c>
      <c r="H15" s="248">
        <f>'15-20W350mA'!C47</f>
        <v>22.55</v>
      </c>
      <c r="I15" s="127">
        <f>'15-20W350mA'!C48</f>
        <v>0</v>
      </c>
      <c r="J15" s="248">
        <f>'15-20W350mA'!C49</f>
        <v>9</v>
      </c>
      <c r="K15" s="248">
        <f>'15-20W350mA'!C50</f>
        <v>6.32</v>
      </c>
      <c r="L15" s="248">
        <f>'15-20W350mA'!C51</f>
        <v>81.56</v>
      </c>
      <c r="M15" s="248">
        <f>'15-20W350mA'!C52</f>
        <v>16</v>
      </c>
      <c r="N15" s="280">
        <f t="shared" si="0"/>
        <v>67650</v>
      </c>
      <c r="O15" s="281">
        <f t="shared" si="1"/>
        <v>0</v>
      </c>
      <c r="P15" s="281">
        <f t="shared" si="2"/>
        <v>27000</v>
      </c>
      <c r="Q15" s="281">
        <f t="shared" si="3"/>
        <v>18960</v>
      </c>
      <c r="R15" s="281">
        <f t="shared" si="4"/>
        <v>244680</v>
      </c>
      <c r="S15" s="282">
        <f t="shared" si="5"/>
        <v>48000</v>
      </c>
    </row>
    <row r="16" spans="1:19" ht="15.75" thickBot="1">
      <c r="A16" s="246"/>
      <c r="B16" s="246"/>
      <c r="N16" s="271"/>
      <c r="O16" s="271"/>
      <c r="P16" s="271"/>
      <c r="Q16" s="271"/>
      <c r="R16" s="271"/>
      <c r="S16" s="271"/>
    </row>
    <row r="17" spans="1:19" ht="15.75" thickBot="1">
      <c r="A17" s="246"/>
      <c r="B17" s="246"/>
      <c r="N17" s="272">
        <f>SUM(N5:N16)</f>
        <v>601250</v>
      </c>
      <c r="O17" s="273">
        <f t="shared" ref="O17:S17" si="7">SUM(O5:O16)</f>
        <v>0</v>
      </c>
      <c r="P17" s="273">
        <f t="shared" si="7"/>
        <v>192000</v>
      </c>
      <c r="Q17" s="273">
        <f t="shared" si="7"/>
        <v>285070</v>
      </c>
      <c r="R17" s="273">
        <f t="shared" si="7"/>
        <v>1621660</v>
      </c>
      <c r="S17" s="274">
        <f t="shared" si="7"/>
        <v>371500</v>
      </c>
    </row>
    <row r="18" spans="1:19">
      <c r="A18" s="246"/>
      <c r="B18" s="246"/>
    </row>
    <row r="19" spans="1:19" ht="15.75" thickBot="1">
      <c r="A19" s="246"/>
      <c r="B19" s="246"/>
    </row>
    <row r="20" spans="1:19" ht="15.75" thickBot="1">
      <c r="A20" s="297"/>
      <c r="B20" s="301" t="s">
        <v>510</v>
      </c>
      <c r="C20" s="302"/>
    </row>
    <row r="21" spans="1:19">
      <c r="A21" s="246"/>
      <c r="B21" s="246"/>
    </row>
  </sheetData>
  <mergeCells count="3">
    <mergeCell ref="H3:M3"/>
    <mergeCell ref="A3:B3"/>
    <mergeCell ref="N3:S3"/>
  </mergeCells>
  <pageMargins left="0.7" right="0.7" top="0.75" bottom="0.75" header="0.3" footer="0.3"/>
  <pageSetup scale="68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B2:O11"/>
  <sheetViews>
    <sheetView workbookViewId="0"/>
  </sheetViews>
  <sheetFormatPr defaultRowHeight="15"/>
  <cols>
    <col min="1" max="2" width="9.140625" style="307"/>
    <col min="3" max="3" width="7" style="307" bestFit="1" customWidth="1"/>
    <col min="4" max="4" width="16.5703125" style="307" bestFit="1" customWidth="1"/>
    <col min="5" max="5" width="10.5703125" style="307" bestFit="1" customWidth="1"/>
    <col min="6" max="6" width="15.28515625" style="307" bestFit="1" customWidth="1"/>
    <col min="7" max="7" width="9.140625" style="307"/>
    <col min="8" max="8" width="15.28515625" style="307" bestFit="1" customWidth="1"/>
    <col min="9" max="9" width="9.140625" style="307"/>
    <col min="10" max="11" width="14.28515625" style="307" bestFit="1" customWidth="1"/>
    <col min="12" max="13" width="15.28515625" style="307" bestFit="1" customWidth="1"/>
    <col min="14" max="14" width="9.140625" style="307"/>
    <col min="15" max="15" width="15.28515625" style="307" bestFit="1" customWidth="1"/>
    <col min="16" max="16384" width="9.140625" style="307"/>
  </cols>
  <sheetData>
    <row r="2" spans="2:15" ht="15.75" thickBot="1"/>
    <row r="3" spans="2:15">
      <c r="B3" s="371" t="s">
        <v>138</v>
      </c>
      <c r="C3" s="372"/>
      <c r="D3" s="283" t="s">
        <v>486</v>
      </c>
      <c r="E3" s="284" t="s">
        <v>487</v>
      </c>
      <c r="F3" s="285" t="s">
        <v>489</v>
      </c>
      <c r="G3" s="127"/>
      <c r="H3" s="376" t="s">
        <v>496</v>
      </c>
      <c r="I3" s="377"/>
      <c r="J3" s="377"/>
      <c r="K3" s="377"/>
      <c r="L3" s="377"/>
      <c r="M3" s="378"/>
    </row>
    <row r="4" spans="2:15">
      <c r="B4" s="286"/>
      <c r="C4" s="287"/>
      <c r="D4" s="288"/>
      <c r="E4" s="287"/>
      <c r="F4" s="289"/>
      <c r="G4" s="127"/>
      <c r="H4" s="276" t="s">
        <v>491</v>
      </c>
      <c r="I4" s="72" t="s">
        <v>492</v>
      </c>
      <c r="J4" s="72" t="s">
        <v>493</v>
      </c>
      <c r="K4" s="72" t="s">
        <v>490</v>
      </c>
      <c r="L4" s="72" t="s">
        <v>494</v>
      </c>
      <c r="M4" s="277" t="s">
        <v>495</v>
      </c>
    </row>
    <row r="5" spans="2:15">
      <c r="B5" s="290" t="s">
        <v>305</v>
      </c>
      <c r="C5" s="269">
        <v>310037</v>
      </c>
      <c r="D5" s="78" t="s">
        <v>503</v>
      </c>
      <c r="E5" s="275">
        <f>'5-9W350mA'!J51+'5-9W350mA'!J52+'5-9W350mA'!J53</f>
        <v>92730</v>
      </c>
      <c r="F5" s="291">
        <f>'5-9W350mA'!J54*G11</f>
        <v>617400000</v>
      </c>
      <c r="G5" s="127"/>
      <c r="H5" s="278"/>
      <c r="I5" s="270"/>
      <c r="J5" s="270"/>
      <c r="K5" s="270">
        <f>'5-9W350mA'!J51*G11</f>
        <v>108150000</v>
      </c>
      <c r="L5" s="270">
        <f>'5-9W350mA'!J52*G11</f>
        <v>295500000</v>
      </c>
      <c r="M5" s="279">
        <f>'5-9W350mA'!J53*G11</f>
        <v>60000000</v>
      </c>
      <c r="O5" s="313">
        <f>K5+L5+M5</f>
        <v>463650000</v>
      </c>
    </row>
    <row r="6" spans="2:15">
      <c r="B6" s="290" t="s">
        <v>468</v>
      </c>
      <c r="C6" s="269">
        <v>310044</v>
      </c>
      <c r="D6" s="78" t="s">
        <v>504</v>
      </c>
      <c r="E6" s="275">
        <f>'10-17W300mA'!J48+'10-17W300mA'!J50+'10-17W300mA'!J51+'10-17W300mA'!J52+'10-17W300mA'!J53</f>
        <v>164940</v>
      </c>
      <c r="F6" s="291">
        <f>'10-17W300mA'!J54*G11</f>
        <v>824700000</v>
      </c>
      <c r="G6" s="127"/>
      <c r="H6" s="278">
        <f>'10-17W300mA'!J48*G11</f>
        <v>108750000</v>
      </c>
      <c r="I6" s="270"/>
      <c r="J6" s="270">
        <f>'10-17W300mA'!J50*G11</f>
        <v>45000000</v>
      </c>
      <c r="K6" s="270">
        <f>'10-17W300mA'!J51*G11</f>
        <v>146250000</v>
      </c>
      <c r="L6" s="270">
        <f>'10-17W300mA'!J52*G11</f>
        <v>444700000</v>
      </c>
      <c r="M6" s="279">
        <f>'10-17W300mA'!J53*G11</f>
        <v>80000000</v>
      </c>
      <c r="O6" s="313">
        <f>SUM(H6:M6)</f>
        <v>824700000</v>
      </c>
    </row>
    <row r="7" spans="2:15" ht="15.75" thickBot="1">
      <c r="B7" s="292" t="s">
        <v>466</v>
      </c>
      <c r="C7" s="293">
        <v>310043</v>
      </c>
      <c r="D7" s="294" t="s">
        <v>508</v>
      </c>
      <c r="E7" s="295">
        <f>'15-20W350mA'!K47+'15-20W350mA'!K49+'15-20W350mA'!K50+'15-20W350mA'!K51+'15-20W350mA'!K52</f>
        <v>294251.75</v>
      </c>
      <c r="F7" s="296">
        <f>'15-20W350mA'!K53*G11</f>
        <v>1471258750</v>
      </c>
      <c r="G7" s="127"/>
      <c r="H7" s="278">
        <f>'15-20W350mA'!K47*G11</f>
        <v>38250000</v>
      </c>
      <c r="I7" s="270"/>
      <c r="J7" s="270"/>
      <c r="K7" s="270">
        <f>'15-20W350mA'!K50*G11</f>
        <v>75198750</v>
      </c>
      <c r="L7" s="270">
        <f>'15-20W350mA'!K51*G11</f>
        <v>1234350000</v>
      </c>
      <c r="M7" s="279">
        <f>'15-20W350mA'!K52*G11</f>
        <v>10960000</v>
      </c>
      <c r="O7" s="313">
        <f>SUM(H7:M7)</f>
        <v>1358758750</v>
      </c>
    </row>
    <row r="11" spans="2:15" ht="18.75">
      <c r="F11" s="314" t="s">
        <v>513</v>
      </c>
      <c r="G11" s="314">
        <f>5000</f>
        <v>5000</v>
      </c>
    </row>
  </sheetData>
  <mergeCells count="2">
    <mergeCell ref="B3:C3"/>
    <mergeCell ref="H3:M3"/>
  </mergeCells>
  <pageMargins left="0.7" right="0.7" top="0.75" bottom="0.75" header="0.3" footer="0.3"/>
  <pageSetup scale="6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TL 5.4 VER</vt:lpstr>
      <vt:lpstr>TL 5.8 VER</vt:lpstr>
      <vt:lpstr>TL 5.13 VER</vt:lpstr>
      <vt:lpstr>1-5W300mA</vt:lpstr>
      <vt:lpstr>1-5W350mA</vt:lpstr>
      <vt:lpstr>5-9W350mA</vt:lpstr>
      <vt:lpstr>10-17W300mA</vt:lpstr>
      <vt:lpstr>10-15W350mA</vt:lpstr>
      <vt:lpstr>10-15W450mA</vt:lpstr>
      <vt:lpstr>15-20W300mA</vt:lpstr>
      <vt:lpstr>15-20W350mA</vt:lpstr>
      <vt:lpstr>Detail-Planner</vt:lpstr>
      <vt:lpstr>Planner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2014-01-29T13:33:47Z</dcterms:modified>
</cp:coreProperties>
</file>