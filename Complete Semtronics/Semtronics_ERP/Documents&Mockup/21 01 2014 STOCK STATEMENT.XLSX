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490" windowHeight="7905" tabRatio="599" activeTab="5"/>
  </bookViews>
  <sheets>
    <sheet name="DIODE" sheetId="9" r:id="rId1"/>
    <sheet name="LEDS" sheetId="12" r:id="rId2"/>
    <sheet name="PCB" sheetId="8" r:id="rId3"/>
    <sheet name="RESISTOR" sheetId="10" r:id="rId4"/>
    <sheet name="CONNECTOR" sheetId="11" r:id="rId5"/>
    <sheet name="CAPACITOR" sheetId="13" r:id="rId6"/>
    <sheet name="HEATSINK" sheetId="15" r:id="rId7"/>
    <sheet name="INDUCTOR" sheetId="16" r:id="rId8"/>
    <sheet name="MOSFET" sheetId="17" r:id="rId9"/>
    <sheet name="DRIVER" sheetId="33" r:id="rId10"/>
    <sheet name="FG" sheetId="32" r:id="rId11"/>
    <sheet name="MOV" sheetId="18" r:id="rId12"/>
    <sheet name="WIRE" sheetId="19" r:id="rId13"/>
    <sheet name="ASSACERIES" sheetId="20" r:id="rId14"/>
    <sheet name="IC" sheetId="23" r:id="rId15"/>
    <sheet name="ENCLOSURES" sheetId="31" r:id="rId16"/>
    <sheet name="TOTAL PRICE" sheetId="27" r:id="rId17"/>
    <sheet name="VENDER NAME&amp;CODE" sheetId="28" r:id="rId18"/>
    <sheet name="Sheet1" sheetId="29" r:id="rId19"/>
    <sheet name="Sheet2" sheetId="30" r:id="rId20"/>
  </sheets>
  <definedNames>
    <definedName name="_xlnm._FilterDatabase" localSheetId="3" hidden="1">RESISTOR!$B$5:$H$210</definedName>
  </definedNames>
  <calcPr calcId="152511"/>
</workbook>
</file>

<file path=xl/calcChain.xml><?xml version="1.0" encoding="utf-8"?>
<calcChain xmlns="http://schemas.openxmlformats.org/spreadsheetml/2006/main">
  <c r="K26" i="12"/>
  <c r="G76" i="13" l="1"/>
  <c r="H76"/>
  <c r="K25" i="12"/>
  <c r="H93" i="8"/>
  <c r="G93"/>
  <c r="I93" s="1"/>
  <c r="K93" s="1"/>
  <c r="I84"/>
  <c r="K84" s="1"/>
  <c r="H75" l="1"/>
  <c r="G75"/>
  <c r="G74"/>
  <c r="I74" s="1"/>
  <c r="K74" s="1"/>
  <c r="K73"/>
  <c r="I72"/>
  <c r="K72" s="1"/>
  <c r="I71"/>
  <c r="K71" s="1"/>
  <c r="I75" l="1"/>
  <c r="K75" s="1"/>
  <c r="I32" i="16"/>
  <c r="K32" s="1"/>
  <c r="I16" i="17"/>
  <c r="K16" s="1"/>
  <c r="I8" i="19"/>
  <c r="K8" s="1"/>
  <c r="H8"/>
  <c r="G8"/>
  <c r="I44" i="20" l="1"/>
  <c r="K44"/>
  <c r="I45"/>
  <c r="K45" s="1"/>
  <c r="I46"/>
  <c r="K46"/>
  <c r="I47"/>
  <c r="K47" s="1"/>
  <c r="I48"/>
  <c r="K48"/>
  <c r="I49"/>
  <c r="K49" s="1"/>
  <c r="I50"/>
  <c r="K50"/>
  <c r="I51"/>
  <c r="K51" s="1"/>
  <c r="I52"/>
  <c r="K52"/>
  <c r="I53"/>
  <c r="K53" s="1"/>
  <c r="I54"/>
  <c r="K54"/>
  <c r="I55"/>
  <c r="K55" s="1"/>
  <c r="I56"/>
  <c r="K56"/>
  <c r="I57"/>
  <c r="K57" s="1"/>
  <c r="I58"/>
  <c r="K58"/>
  <c r="I59"/>
  <c r="K59" s="1"/>
  <c r="I60"/>
  <c r="K60"/>
  <c r="I61"/>
  <c r="K61" s="1"/>
  <c r="I62"/>
  <c r="K62"/>
  <c r="I63"/>
  <c r="K63" s="1"/>
  <c r="I64"/>
  <c r="K64"/>
  <c r="I65"/>
  <c r="K65" s="1"/>
  <c r="I66"/>
  <c r="K66"/>
  <c r="I67"/>
  <c r="K67" s="1"/>
  <c r="I68"/>
  <c r="K68"/>
  <c r="I69"/>
  <c r="K69" s="1"/>
  <c r="I70"/>
  <c r="K70"/>
  <c r="I71"/>
  <c r="K71" s="1"/>
  <c r="I72"/>
  <c r="K72"/>
  <c r="I73"/>
  <c r="K73" s="1"/>
  <c r="I74"/>
  <c r="K74"/>
  <c r="I75"/>
  <c r="K75" s="1"/>
  <c r="I76"/>
  <c r="K76"/>
  <c r="I77"/>
  <c r="K77" s="1"/>
  <c r="I78"/>
  <c r="K78"/>
  <c r="I79"/>
  <c r="K79" s="1"/>
  <c r="I24" i="23"/>
  <c r="K24"/>
  <c r="I25"/>
  <c r="K25" s="1"/>
  <c r="H43" i="31"/>
  <c r="H44"/>
  <c r="H45"/>
  <c r="H46"/>
  <c r="H47"/>
  <c r="H48"/>
  <c r="N134" i="10"/>
  <c r="N135"/>
  <c r="N136"/>
  <c r="G8" i="18"/>
  <c r="G24" i="9"/>
  <c r="G11" i="13"/>
  <c r="I8" i="17"/>
  <c r="I9"/>
  <c r="I12"/>
  <c r="I13"/>
  <c r="I7"/>
  <c r="G10"/>
  <c r="K100" i="13" l="1"/>
  <c r="N202" i="10"/>
  <c r="I9" i="16"/>
  <c r="I10"/>
  <c r="I11"/>
  <c r="I12"/>
  <c r="I14"/>
  <c r="I15"/>
  <c r="I17"/>
  <c r="I18"/>
  <c r="I35"/>
  <c r="K35" s="1"/>
  <c r="G28"/>
  <c r="I28" s="1"/>
  <c r="G21"/>
  <c r="N201" i="10"/>
  <c r="J98"/>
  <c r="I7" i="18"/>
  <c r="I12"/>
  <c r="I14"/>
  <c r="I16"/>
  <c r="I6"/>
  <c r="I7" i="19"/>
  <c r="L200" i="10"/>
  <c r="N200" s="1"/>
  <c r="G13" i="11"/>
  <c r="G30" i="13"/>
  <c r="G79"/>
  <c r="G10" i="18"/>
  <c r="J191" i="10"/>
  <c r="L191" s="1"/>
  <c r="N191" s="1"/>
  <c r="G8" i="13"/>
  <c r="G24"/>
  <c r="J188" i="10"/>
  <c r="L188" s="1"/>
  <c r="N188" s="1"/>
  <c r="K99" i="13"/>
  <c r="K98"/>
  <c r="K97"/>
  <c r="G17"/>
  <c r="J194" i="10"/>
  <c r="J192"/>
  <c r="L192" s="1"/>
  <c r="N192" s="1"/>
  <c r="I6" i="9"/>
  <c r="I7"/>
  <c r="I8"/>
  <c r="I9"/>
  <c r="I10"/>
  <c r="I11"/>
  <c r="I13"/>
  <c r="I14"/>
  <c r="I16"/>
  <c r="I18"/>
  <c r="I19"/>
  <c r="I20"/>
  <c r="I21"/>
  <c r="I22"/>
  <c r="I23"/>
  <c r="K23" s="1"/>
  <c r="I24"/>
  <c r="K24" s="1"/>
  <c r="I25"/>
  <c r="I26"/>
  <c r="K26" s="1"/>
  <c r="I27"/>
  <c r="G96" i="13"/>
  <c r="I96" s="1"/>
  <c r="K96" s="1"/>
  <c r="I6" i="23"/>
  <c r="I8"/>
  <c r="I9"/>
  <c r="I10"/>
  <c r="I11"/>
  <c r="I12"/>
  <c r="I13"/>
  <c r="I14"/>
  <c r="I15"/>
  <c r="I16"/>
  <c r="I17"/>
  <c r="I18"/>
  <c r="I21"/>
  <c r="I23"/>
  <c r="I92" i="8"/>
  <c r="G92"/>
  <c r="J64" i="10"/>
  <c r="K92" i="8"/>
  <c r="G40"/>
  <c r="K25" i="9"/>
  <c r="I13" i="11"/>
  <c r="K13" s="1"/>
  <c r="G34" i="16"/>
  <c r="I34" s="1"/>
  <c r="K34" s="1"/>
  <c r="H33"/>
  <c r="I33" s="1"/>
  <c r="L199" i="10"/>
  <c r="N199" s="1"/>
  <c r="L198"/>
  <c r="N198" s="1"/>
  <c r="L197"/>
  <c r="N197" s="1"/>
  <c r="L196"/>
  <c r="N196" s="1"/>
  <c r="L195"/>
  <c r="N195" s="1"/>
  <c r="L194"/>
  <c r="N194" s="1"/>
  <c r="L193"/>
  <c r="N193" s="1"/>
  <c r="L190"/>
  <c r="N190" s="1"/>
  <c r="L189"/>
  <c r="N189" s="1"/>
  <c r="L187"/>
  <c r="N187" s="1"/>
  <c r="L186"/>
  <c r="N186" s="1"/>
  <c r="L185"/>
  <c r="N185" s="1"/>
  <c r="L184"/>
  <c r="N184" s="1"/>
  <c r="L183"/>
  <c r="N183" s="1"/>
  <c r="L182"/>
  <c r="N182" s="1"/>
  <c r="L181"/>
  <c r="N181" s="1"/>
  <c r="L180"/>
  <c r="N180" s="1"/>
  <c r="L179"/>
  <c r="N179" s="1"/>
  <c r="L178"/>
  <c r="N178" s="1"/>
  <c r="L177"/>
  <c r="N177" s="1"/>
  <c r="L176"/>
  <c r="N176" s="1"/>
  <c r="L175"/>
  <c r="N175" s="1"/>
  <c r="L174"/>
  <c r="N174" s="1"/>
  <c r="L173"/>
  <c r="N173" s="1"/>
  <c r="L172"/>
  <c r="N172" s="1"/>
  <c r="L171"/>
  <c r="N171" s="1"/>
  <c r="J164"/>
  <c r="I91" i="8"/>
  <c r="K91" s="1"/>
  <c r="I90"/>
  <c r="K90" s="1"/>
  <c r="I40"/>
  <c r="H12" i="9" l="1"/>
  <c r="I12" s="1"/>
  <c r="G15"/>
  <c r="H15"/>
  <c r="F17"/>
  <c r="H17"/>
  <c r="I15" l="1"/>
  <c r="H37" i="32"/>
  <c r="H31"/>
  <c r="G10"/>
  <c r="H9"/>
  <c r="I9" s="1"/>
  <c r="K9" s="1"/>
  <c r="G8"/>
  <c r="H7"/>
  <c r="J87" i="33"/>
  <c r="J85"/>
  <c r="L85" s="1"/>
  <c r="J84"/>
  <c r="L84" s="1"/>
  <c r="J83"/>
  <c r="L83" s="1"/>
  <c r="J82"/>
  <c r="J81"/>
  <c r="L81" s="1"/>
  <c r="J80"/>
  <c r="L80" s="1"/>
  <c r="J79"/>
  <c r="L79" s="1"/>
  <c r="J77"/>
  <c r="J75"/>
  <c r="J74"/>
  <c r="J73"/>
  <c r="L73" s="1"/>
  <c r="J72"/>
  <c r="J71"/>
  <c r="J70"/>
  <c r="J69"/>
  <c r="L69" s="1"/>
  <c r="J68"/>
  <c r="J67"/>
  <c r="J66"/>
  <c r="J65"/>
  <c r="L65" s="1"/>
  <c r="J64"/>
  <c r="J63"/>
  <c r="L63" s="1"/>
  <c r="J62"/>
  <c r="J61"/>
  <c r="L61" s="1"/>
  <c r="J60"/>
  <c r="J59"/>
  <c r="L59" s="1"/>
  <c r="J58"/>
  <c r="L58" s="1"/>
  <c r="J57"/>
  <c r="L57" s="1"/>
  <c r="J56"/>
  <c r="J55"/>
  <c r="L55" s="1"/>
  <c r="J54"/>
  <c r="J53"/>
  <c r="L53" s="1"/>
  <c r="J52"/>
  <c r="J50"/>
  <c r="L50" s="1"/>
  <c r="J48"/>
  <c r="L48" s="1"/>
  <c r="J47"/>
  <c r="L47" s="1"/>
  <c r="J46"/>
  <c r="J45"/>
  <c r="J44"/>
  <c r="L44" s="1"/>
  <c r="J43"/>
  <c r="L43" s="1"/>
  <c r="J42"/>
  <c r="J41"/>
  <c r="J40"/>
  <c r="L40" s="1"/>
  <c r="J39"/>
  <c r="L39" s="1"/>
  <c r="J37"/>
  <c r="J36"/>
  <c r="L36" s="1"/>
  <c r="J35"/>
  <c r="L35" s="1"/>
  <c r="J34"/>
  <c r="L34" s="1"/>
  <c r="J32"/>
  <c r="J31"/>
  <c r="J30"/>
  <c r="L30" s="1"/>
  <c r="J29"/>
  <c r="L29" s="1"/>
  <c r="J28"/>
  <c r="J27"/>
  <c r="J25"/>
  <c r="J22"/>
  <c r="L22" s="1"/>
  <c r="J21"/>
  <c r="J20"/>
  <c r="L20" s="1"/>
  <c r="J19"/>
  <c r="J18"/>
  <c r="L18" s="1"/>
  <c r="J15"/>
  <c r="J14"/>
  <c r="L14" s="1"/>
  <c r="J13"/>
  <c r="L13" s="1"/>
  <c r="J12"/>
  <c r="L12" s="1"/>
  <c r="J11"/>
  <c r="J10"/>
  <c r="L10" s="1"/>
  <c r="J9"/>
  <c r="L9" s="1"/>
  <c r="J8"/>
  <c r="L8" s="1"/>
  <c r="J7"/>
  <c r="J6"/>
  <c r="L6" s="1"/>
  <c r="I38" i="32"/>
  <c r="I36"/>
  <c r="K36" s="1"/>
  <c r="I35"/>
  <c r="I34"/>
  <c r="K34" s="1"/>
  <c r="I33"/>
  <c r="I31"/>
  <c r="K31" s="1"/>
  <c r="I30"/>
  <c r="I28"/>
  <c r="K28" s="1"/>
  <c r="I27"/>
  <c r="K27" s="1"/>
  <c r="I25"/>
  <c r="K25" s="1"/>
  <c r="I24"/>
  <c r="I19"/>
  <c r="I18"/>
  <c r="K18" s="1"/>
  <c r="I17"/>
  <c r="K17" s="1"/>
  <c r="I16"/>
  <c r="I6"/>
  <c r="K6" s="1"/>
  <c r="I5"/>
  <c r="K5" s="1"/>
  <c r="I4"/>
  <c r="K4" s="1"/>
  <c r="H12"/>
  <c r="H11"/>
  <c r="H10"/>
  <c r="I10" s="1"/>
  <c r="K10" s="1"/>
  <c r="K38"/>
  <c r="K37"/>
  <c r="G37"/>
  <c r="K35"/>
  <c r="K33"/>
  <c r="K32"/>
  <c r="K30"/>
  <c r="K29"/>
  <c r="K26"/>
  <c r="H26"/>
  <c r="G26"/>
  <c r="K24"/>
  <c r="H23"/>
  <c r="G23"/>
  <c r="K22"/>
  <c r="K21"/>
  <c r="K20"/>
  <c r="K19"/>
  <c r="K16"/>
  <c r="G15"/>
  <c r="I15" s="1"/>
  <c r="K15" s="1"/>
  <c r="G14"/>
  <c r="I14" s="1"/>
  <c r="K14" s="1"/>
  <c r="K13"/>
  <c r="G13"/>
  <c r="K12"/>
  <c r="G12"/>
  <c r="K11"/>
  <c r="G11"/>
  <c r="K8"/>
  <c r="G7"/>
  <c r="I86" i="33"/>
  <c r="H86"/>
  <c r="L86" s="1"/>
  <c r="L82"/>
  <c r="L78"/>
  <c r="L77"/>
  <c r="L76"/>
  <c r="L75"/>
  <c r="L74"/>
  <c r="L72"/>
  <c r="L71"/>
  <c r="L70"/>
  <c r="L68"/>
  <c r="L67"/>
  <c r="L66"/>
  <c r="F65"/>
  <c r="L64"/>
  <c r="L62"/>
  <c r="L60"/>
  <c r="L56"/>
  <c r="L54"/>
  <c r="L52"/>
  <c r="L51"/>
  <c r="I51"/>
  <c r="L49"/>
  <c r="L46"/>
  <c r="L45"/>
  <c r="L42"/>
  <c r="L41"/>
  <c r="L38"/>
  <c r="L37"/>
  <c r="L33"/>
  <c r="L32"/>
  <c r="L31"/>
  <c r="L28"/>
  <c r="L27"/>
  <c r="L26"/>
  <c r="I26"/>
  <c r="H26"/>
  <c r="L25"/>
  <c r="L24"/>
  <c r="L23"/>
  <c r="L21"/>
  <c r="L19"/>
  <c r="L17"/>
  <c r="L16"/>
  <c r="I16"/>
  <c r="L15"/>
  <c r="L11"/>
  <c r="L7"/>
  <c r="I23" i="32" l="1"/>
  <c r="I7"/>
  <c r="K7" s="1"/>
  <c r="K23"/>
  <c r="K39"/>
  <c r="D16" i="27" s="1"/>
  <c r="L87" i="33"/>
  <c r="D15" i="27" s="1"/>
  <c r="H42" i="31"/>
  <c r="H29"/>
  <c r="H30"/>
  <c r="H31"/>
  <c r="H32"/>
  <c r="H33"/>
  <c r="H34"/>
  <c r="H35"/>
  <c r="H36"/>
  <c r="H37"/>
  <c r="H38"/>
  <c r="H39"/>
  <c r="H40"/>
  <c r="H41"/>
  <c r="H26"/>
  <c r="H27"/>
  <c r="H28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49" l="1"/>
  <c r="D21" i="27" s="1"/>
  <c r="K62" i="8"/>
  <c r="K14"/>
  <c r="K40"/>
  <c r="K9"/>
  <c r="H7" i="16" l="1"/>
  <c r="I7" s="1"/>
  <c r="K7" s="1"/>
  <c r="K16" i="18"/>
  <c r="I8" i="15"/>
  <c r="K8" s="1"/>
  <c r="I7"/>
  <c r="K7" s="1"/>
  <c r="I6"/>
  <c r="K6" s="1"/>
  <c r="G9"/>
  <c r="I9" s="1"/>
  <c r="K9" s="1"/>
  <c r="G11" i="11"/>
  <c r="I11" s="1"/>
  <c r="K11" s="1"/>
  <c r="G10"/>
  <c r="I10" s="1"/>
  <c r="K10" s="1"/>
  <c r="I12"/>
  <c r="K12" s="1"/>
  <c r="I9"/>
  <c r="K9" s="1"/>
  <c r="I8"/>
  <c r="K8" s="1"/>
  <c r="I7"/>
  <c r="K7" s="1"/>
  <c r="I6"/>
  <c r="K6" s="1"/>
  <c r="G13" i="16"/>
  <c r="I13" s="1"/>
  <c r="N169" i="10"/>
  <c r="N168"/>
  <c r="J107"/>
  <c r="J108"/>
  <c r="J103"/>
  <c r="J120"/>
  <c r="J119"/>
  <c r="J10"/>
  <c r="G31" i="13" l="1"/>
  <c r="I89" i="8"/>
  <c r="K89" s="1"/>
  <c r="G86"/>
  <c r="H19" i="23"/>
  <c r="H5"/>
  <c r="H20" i="16"/>
  <c r="H64" i="8"/>
  <c r="H22"/>
  <c r="G20" i="16"/>
  <c r="I88" i="8"/>
  <c r="K88" s="1"/>
  <c r="K15" i="11"/>
  <c r="D9" i="27" s="1"/>
  <c r="K11" i="15"/>
  <c r="D12" i="27" s="1"/>
  <c r="H32" i="20"/>
  <c r="K110" i="10"/>
  <c r="H18" i="12"/>
  <c r="K100" i="10"/>
  <c r="H10" i="17"/>
  <c r="I10" s="1"/>
  <c r="K145" i="10"/>
  <c r="H63" i="8"/>
  <c r="H87" i="13"/>
  <c r="H8" i="18"/>
  <c r="H17" i="13"/>
  <c r="K162" i="10"/>
  <c r="K138"/>
  <c r="K37"/>
  <c r="K13"/>
  <c r="H86" i="13"/>
  <c r="K10" i="10"/>
  <c r="K6"/>
  <c r="H11" i="13"/>
  <c r="K109" i="10"/>
  <c r="K107"/>
  <c r="K120"/>
  <c r="K164"/>
  <c r="K119"/>
  <c r="K103"/>
  <c r="K117"/>
  <c r="K101"/>
  <c r="J101"/>
  <c r="H11" i="17"/>
  <c r="H30" i="13"/>
  <c r="H32"/>
  <c r="K163" i="10"/>
  <c r="H31" i="13"/>
  <c r="H21" i="8"/>
  <c r="H20" i="23"/>
  <c r="I20" s="1"/>
  <c r="H10" i="12"/>
  <c r="K165" i="10"/>
  <c r="K50"/>
  <c r="H18" i="8"/>
  <c r="H6" i="19"/>
  <c r="I6" s="1"/>
  <c r="I20" i="16" l="1"/>
  <c r="H86" i="8"/>
  <c r="J165" i="10"/>
  <c r="F10" i="18"/>
  <c r="I10" s="1"/>
  <c r="H28" i="12"/>
  <c r="I42" i="20" l="1"/>
  <c r="K42" s="1"/>
  <c r="K20" i="16"/>
  <c r="L170" i="10"/>
  <c r="N170" s="1"/>
  <c r="L167"/>
  <c r="N167" s="1"/>
  <c r="L166"/>
  <c r="L165"/>
  <c r="L164"/>
  <c r="N164" s="1"/>
  <c r="J163"/>
  <c r="L163" s="1"/>
  <c r="N163" s="1"/>
  <c r="G32" i="13"/>
  <c r="J109" i="10"/>
  <c r="J117"/>
  <c r="G18" i="12"/>
  <c r="K18" s="1"/>
  <c r="K7" i="19"/>
  <c r="K6"/>
  <c r="H8" i="16"/>
  <c r="H43" i="20"/>
  <c r="I43" s="1"/>
  <c r="K43" s="1"/>
  <c r="K118" i="10"/>
  <c r="H19" i="16"/>
  <c r="I19" s="1"/>
  <c r="K19" s="1"/>
  <c r="H11" i="12"/>
  <c r="I87" i="8"/>
  <c r="K87" s="1"/>
  <c r="I86"/>
  <c r="K86" s="1"/>
  <c r="G38" i="20"/>
  <c r="I38" s="1"/>
  <c r="K38" s="1"/>
  <c r="N166" i="10"/>
  <c r="K18" i="20"/>
  <c r="K10"/>
  <c r="I41"/>
  <c r="K41" s="1"/>
  <c r="I40"/>
  <c r="K40" s="1"/>
  <c r="I39"/>
  <c r="K39" s="1"/>
  <c r="I37"/>
  <c r="K37" s="1"/>
  <c r="I35"/>
  <c r="K35" s="1"/>
  <c r="I34"/>
  <c r="K34" s="1"/>
  <c r="I33"/>
  <c r="K33" s="1"/>
  <c r="K32"/>
  <c r="I31"/>
  <c r="K31" s="1"/>
  <c r="I30"/>
  <c r="K30" s="1"/>
  <c r="I29"/>
  <c r="K29" s="1"/>
  <c r="I28"/>
  <c r="K28" s="1"/>
  <c r="I27"/>
  <c r="K27" s="1"/>
  <c r="I26"/>
  <c r="K26" s="1"/>
  <c r="I25"/>
  <c r="K25" s="1"/>
  <c r="I24"/>
  <c r="K24" s="1"/>
  <c r="I23"/>
  <c r="K23" s="1"/>
  <c r="I22"/>
  <c r="K22" s="1"/>
  <c r="I21"/>
  <c r="K21" s="1"/>
  <c r="I20"/>
  <c r="K20" s="1"/>
  <c r="I19"/>
  <c r="K19" s="1"/>
  <c r="I17"/>
  <c r="K17" s="1"/>
  <c r="I16"/>
  <c r="K16" s="1"/>
  <c r="I15"/>
  <c r="K15" s="1"/>
  <c r="I14"/>
  <c r="K14" s="1"/>
  <c r="I13"/>
  <c r="K13" s="1"/>
  <c r="I12"/>
  <c r="K12" s="1"/>
  <c r="I11"/>
  <c r="K11" s="1"/>
  <c r="I9"/>
  <c r="K9" s="1"/>
  <c r="I8"/>
  <c r="K8" s="1"/>
  <c r="I7"/>
  <c r="K7" s="1"/>
  <c r="I6"/>
  <c r="K6" s="1"/>
  <c r="N165" i="10"/>
  <c r="J118"/>
  <c r="I85" i="8"/>
  <c r="K85" s="1"/>
  <c r="I70"/>
  <c r="K70" s="1"/>
  <c r="I69"/>
  <c r="K69" s="1"/>
  <c r="I68"/>
  <c r="K68" s="1"/>
  <c r="I67"/>
  <c r="K67" s="1"/>
  <c r="I66"/>
  <c r="K66" s="1"/>
  <c r="I65"/>
  <c r="K65" s="1"/>
  <c r="I63"/>
  <c r="K63" s="1"/>
  <c r="I61"/>
  <c r="K61" s="1"/>
  <c r="I60"/>
  <c r="K60" s="1"/>
  <c r="I59"/>
  <c r="K59" s="1"/>
  <c r="I58"/>
  <c r="K58" s="1"/>
  <c r="I57"/>
  <c r="K57" s="1"/>
  <c r="I56"/>
  <c r="K56" s="1"/>
  <c r="I54"/>
  <c r="K54" s="1"/>
  <c r="I53"/>
  <c r="K53" s="1"/>
  <c r="I52"/>
  <c r="K52" s="1"/>
  <c r="I51"/>
  <c r="K51" s="1"/>
  <c r="I50"/>
  <c r="K50" s="1"/>
  <c r="I49"/>
  <c r="K49" s="1"/>
  <c r="I48"/>
  <c r="K48" s="1"/>
  <c r="I47"/>
  <c r="K47" s="1"/>
  <c r="I46"/>
  <c r="K46" s="1"/>
  <c r="I45"/>
  <c r="K45" s="1"/>
  <c r="I44"/>
  <c r="K44" s="1"/>
  <c r="I43"/>
  <c r="K43" s="1"/>
  <c r="I42"/>
  <c r="K42" s="1"/>
  <c r="I41"/>
  <c r="K41" s="1"/>
  <c r="I39"/>
  <c r="K39" s="1"/>
  <c r="I38"/>
  <c r="K38" s="1"/>
  <c r="I37"/>
  <c r="K37" s="1"/>
  <c r="I36"/>
  <c r="K36" s="1"/>
  <c r="I35"/>
  <c r="K35" s="1"/>
  <c r="I34"/>
  <c r="K34" s="1"/>
  <c r="I33"/>
  <c r="K33" s="1"/>
  <c r="I32"/>
  <c r="K32" s="1"/>
  <c r="I31"/>
  <c r="K31" s="1"/>
  <c r="I30"/>
  <c r="K30" s="1"/>
  <c r="I29"/>
  <c r="K29" s="1"/>
  <c r="I28"/>
  <c r="K28" s="1"/>
  <c r="I27"/>
  <c r="K27" s="1"/>
  <c r="I26"/>
  <c r="K26" s="1"/>
  <c r="I25"/>
  <c r="K25" s="1"/>
  <c r="I24"/>
  <c r="K24" s="1"/>
  <c r="I23"/>
  <c r="K23" s="1"/>
  <c r="I22"/>
  <c r="K22" s="1"/>
  <c r="I21"/>
  <c r="K21" s="1"/>
  <c r="I20"/>
  <c r="K20" s="1"/>
  <c r="I19"/>
  <c r="K19" s="1"/>
  <c r="I17"/>
  <c r="K17" s="1"/>
  <c r="I16"/>
  <c r="K16" s="1"/>
  <c r="I15"/>
  <c r="K15" s="1"/>
  <c r="I13"/>
  <c r="K13" s="1"/>
  <c r="I12"/>
  <c r="K12" s="1"/>
  <c r="I11"/>
  <c r="K11" s="1"/>
  <c r="I10"/>
  <c r="K10" s="1"/>
  <c r="I8"/>
  <c r="K8" s="1"/>
  <c r="I7"/>
  <c r="K7" s="1"/>
  <c r="I6"/>
  <c r="K6" s="1"/>
  <c r="I5"/>
  <c r="K5" s="1"/>
  <c r="K29" i="12"/>
  <c r="K20"/>
  <c r="K22"/>
  <c r="K28"/>
  <c r="I19"/>
  <c r="K19" s="1"/>
  <c r="I17"/>
  <c r="K17" s="1"/>
  <c r="I16"/>
  <c r="K16" s="1"/>
  <c r="I15"/>
  <c r="K15" s="1"/>
  <c r="I14"/>
  <c r="K14" s="1"/>
  <c r="I13"/>
  <c r="K13" s="1"/>
  <c r="I12"/>
  <c r="K12" s="1"/>
  <c r="K11"/>
  <c r="K10"/>
  <c r="K9"/>
  <c r="I8"/>
  <c r="K8" s="1"/>
  <c r="K7"/>
  <c r="I6"/>
  <c r="K6" s="1"/>
  <c r="K23" i="23"/>
  <c r="K21"/>
  <c r="K18"/>
  <c r="K17"/>
  <c r="K16"/>
  <c r="K15"/>
  <c r="K13"/>
  <c r="K12"/>
  <c r="K11"/>
  <c r="K10"/>
  <c r="K9"/>
  <c r="K8"/>
  <c r="K6"/>
  <c r="K20"/>
  <c r="K14"/>
  <c r="K10" i="17"/>
  <c r="K13"/>
  <c r="K12"/>
  <c r="K9"/>
  <c r="K8"/>
  <c r="K7"/>
  <c r="K14" i="18"/>
  <c r="K13"/>
  <c r="K7"/>
  <c r="K6"/>
  <c r="K12"/>
  <c r="K10"/>
  <c r="I21" i="16"/>
  <c r="K21" s="1"/>
  <c r="K18"/>
  <c r="K17"/>
  <c r="K15"/>
  <c r="K14"/>
  <c r="K13"/>
  <c r="K12"/>
  <c r="K11"/>
  <c r="K10"/>
  <c r="K9"/>
  <c r="I6"/>
  <c r="K6" s="1"/>
  <c r="K22" i="9"/>
  <c r="K21"/>
  <c r="K20"/>
  <c r="K19"/>
  <c r="K18"/>
  <c r="K16"/>
  <c r="K15"/>
  <c r="K14"/>
  <c r="K13"/>
  <c r="K12"/>
  <c r="K11"/>
  <c r="K10"/>
  <c r="K9"/>
  <c r="K8"/>
  <c r="K7"/>
  <c r="K6"/>
  <c r="K5"/>
  <c r="I95" i="13"/>
  <c r="K95" s="1"/>
  <c r="I94"/>
  <c r="K94" s="1"/>
  <c r="I93"/>
  <c r="K93" s="1"/>
  <c r="I92"/>
  <c r="K92" s="1"/>
  <c r="I91"/>
  <c r="K91" s="1"/>
  <c r="I90"/>
  <c r="K90" s="1"/>
  <c r="I89"/>
  <c r="K89" s="1"/>
  <c r="I88"/>
  <c r="K88" s="1"/>
  <c r="I86"/>
  <c r="K86" s="1"/>
  <c r="I85"/>
  <c r="K85" s="1"/>
  <c r="I84"/>
  <c r="K84" s="1"/>
  <c r="I82"/>
  <c r="K82" s="1"/>
  <c r="I81"/>
  <c r="K81" s="1"/>
  <c r="I80"/>
  <c r="K80" s="1"/>
  <c r="K79"/>
  <c r="I78"/>
  <c r="K78" s="1"/>
  <c r="I77"/>
  <c r="K77" s="1"/>
  <c r="I76"/>
  <c r="K76" s="1"/>
  <c r="I75"/>
  <c r="K75" s="1"/>
  <c r="I74"/>
  <c r="K74" s="1"/>
  <c r="I73"/>
  <c r="K73" s="1"/>
  <c r="I72"/>
  <c r="K72" s="1"/>
  <c r="I71"/>
  <c r="K71" s="1"/>
  <c r="I32"/>
  <c r="K32" s="1"/>
  <c r="I31"/>
  <c r="K31" s="1"/>
  <c r="I30"/>
  <c r="K30" s="1"/>
  <c r="I29"/>
  <c r="K29" s="1"/>
  <c r="I28"/>
  <c r="K28" s="1"/>
  <c r="I27"/>
  <c r="K27" s="1"/>
  <c r="I26"/>
  <c r="K26" s="1"/>
  <c r="I25"/>
  <c r="K25" s="1"/>
  <c r="I24"/>
  <c r="K24" s="1"/>
  <c r="I23"/>
  <c r="K23" s="1"/>
  <c r="I22"/>
  <c r="K22" s="1"/>
  <c r="I21"/>
  <c r="K21" s="1"/>
  <c r="I20"/>
  <c r="K20" s="1"/>
  <c r="I19"/>
  <c r="K19" s="1"/>
  <c r="I18"/>
  <c r="K18" s="1"/>
  <c r="I16"/>
  <c r="K16" s="1"/>
  <c r="I15"/>
  <c r="K15" s="1"/>
  <c r="I14"/>
  <c r="K14" s="1"/>
  <c r="I12"/>
  <c r="K12" s="1"/>
  <c r="I10"/>
  <c r="K10" s="1"/>
  <c r="I9"/>
  <c r="K9" s="1"/>
  <c r="I8"/>
  <c r="K8" s="1"/>
  <c r="I7"/>
  <c r="K7" s="1"/>
  <c r="I6"/>
  <c r="K6" s="1"/>
  <c r="I5"/>
  <c r="K5" s="1"/>
  <c r="F87"/>
  <c r="I87" s="1"/>
  <c r="K87" s="1"/>
  <c r="F83"/>
  <c r="I83" s="1"/>
  <c r="K83" s="1"/>
  <c r="F17"/>
  <c r="I17" s="1"/>
  <c r="K17" s="1"/>
  <c r="F13"/>
  <c r="I13" s="1"/>
  <c r="K13" s="1"/>
  <c r="F11"/>
  <c r="I11" s="1"/>
  <c r="K11" s="1"/>
  <c r="L161" i="10"/>
  <c r="L160"/>
  <c r="N160" s="1"/>
  <c r="L159"/>
  <c r="L158"/>
  <c r="L157"/>
  <c r="L156"/>
  <c r="N156" s="1"/>
  <c r="L155"/>
  <c r="L154"/>
  <c r="L153"/>
  <c r="L152"/>
  <c r="N152" s="1"/>
  <c r="L151"/>
  <c r="L150"/>
  <c r="L149"/>
  <c r="L148"/>
  <c r="N148" s="1"/>
  <c r="L147"/>
  <c r="L146"/>
  <c r="L145"/>
  <c r="L144"/>
  <c r="N144" s="1"/>
  <c r="L143"/>
  <c r="L142"/>
  <c r="L141"/>
  <c r="L140"/>
  <c r="N140" s="1"/>
  <c r="L139"/>
  <c r="N139" s="1"/>
  <c r="L138"/>
  <c r="L137"/>
  <c r="N137" s="1"/>
  <c r="L133"/>
  <c r="N133" s="1"/>
  <c r="L132"/>
  <c r="L131"/>
  <c r="L130"/>
  <c r="N130" s="1"/>
  <c r="L129"/>
  <c r="N129" s="1"/>
  <c r="L128"/>
  <c r="N128" s="1"/>
  <c r="L127"/>
  <c r="N127" s="1"/>
  <c r="L126"/>
  <c r="N126" s="1"/>
  <c r="L125"/>
  <c r="N125" s="1"/>
  <c r="L124"/>
  <c r="L123"/>
  <c r="L122"/>
  <c r="N122" s="1"/>
  <c r="L121"/>
  <c r="N121" s="1"/>
  <c r="L120"/>
  <c r="L119"/>
  <c r="N119" s="1"/>
  <c r="L118"/>
  <c r="N118" s="1"/>
  <c r="L117"/>
  <c r="N117" s="1"/>
  <c r="L116"/>
  <c r="L115"/>
  <c r="L114"/>
  <c r="N114" s="1"/>
  <c r="L113"/>
  <c r="N113" s="1"/>
  <c r="L112"/>
  <c r="L111"/>
  <c r="N111" s="1"/>
  <c r="L110"/>
  <c r="N110" s="1"/>
  <c r="L109"/>
  <c r="N109" s="1"/>
  <c r="L108"/>
  <c r="L107"/>
  <c r="L106"/>
  <c r="N106" s="1"/>
  <c r="L105"/>
  <c r="N105" s="1"/>
  <c r="L104"/>
  <c r="L103"/>
  <c r="N103" s="1"/>
  <c r="L102"/>
  <c r="N102" s="1"/>
  <c r="L101"/>
  <c r="N101" s="1"/>
  <c r="L100"/>
  <c r="L99"/>
  <c r="L98"/>
  <c r="N98" s="1"/>
  <c r="L97"/>
  <c r="N97" s="1"/>
  <c r="L95"/>
  <c r="L94"/>
  <c r="L93"/>
  <c r="N93" s="1"/>
  <c r="L92"/>
  <c r="N92" s="1"/>
  <c r="L91"/>
  <c r="L90"/>
  <c r="L89"/>
  <c r="N89" s="1"/>
  <c r="L88"/>
  <c r="N88" s="1"/>
  <c r="L87"/>
  <c r="L86"/>
  <c r="L85"/>
  <c r="N85" s="1"/>
  <c r="L84"/>
  <c r="N84" s="1"/>
  <c r="L83"/>
  <c r="L82"/>
  <c r="L81"/>
  <c r="N81" s="1"/>
  <c r="L80"/>
  <c r="N80" s="1"/>
  <c r="L79"/>
  <c r="L78"/>
  <c r="L77"/>
  <c r="N77" s="1"/>
  <c r="L76"/>
  <c r="N76" s="1"/>
  <c r="L75"/>
  <c r="L74"/>
  <c r="L73"/>
  <c r="N73" s="1"/>
  <c r="L72"/>
  <c r="N72" s="1"/>
  <c r="L71"/>
  <c r="L70"/>
  <c r="L69"/>
  <c r="N69" s="1"/>
  <c r="L68"/>
  <c r="N68" s="1"/>
  <c r="L67"/>
  <c r="N67" s="1"/>
  <c r="L66"/>
  <c r="L65"/>
  <c r="N65" s="1"/>
  <c r="L64"/>
  <c r="N64" s="1"/>
  <c r="L63"/>
  <c r="L62"/>
  <c r="N62" s="1"/>
  <c r="L61"/>
  <c r="N61" s="1"/>
  <c r="L60"/>
  <c r="N60" s="1"/>
  <c r="L59"/>
  <c r="L58"/>
  <c r="L57"/>
  <c r="N57" s="1"/>
  <c r="L56"/>
  <c r="N56" s="1"/>
  <c r="L55"/>
  <c r="L54"/>
  <c r="N54" s="1"/>
  <c r="L53"/>
  <c r="N53" s="1"/>
  <c r="L52"/>
  <c r="N52" s="1"/>
  <c r="L51"/>
  <c r="L50"/>
  <c r="N50" s="1"/>
  <c r="L49"/>
  <c r="L48"/>
  <c r="N48" s="1"/>
  <c r="L47"/>
  <c r="L46"/>
  <c r="N46" s="1"/>
  <c r="L45"/>
  <c r="N45" s="1"/>
  <c r="L44"/>
  <c r="N44" s="1"/>
  <c r="L43"/>
  <c r="L42"/>
  <c r="L41"/>
  <c r="N41" s="1"/>
  <c r="L40"/>
  <c r="N40" s="1"/>
  <c r="L39"/>
  <c r="L38"/>
  <c r="L36"/>
  <c r="N36" s="1"/>
  <c r="L35"/>
  <c r="N35" s="1"/>
  <c r="L34"/>
  <c r="L33"/>
  <c r="L32"/>
  <c r="N32" s="1"/>
  <c r="L31"/>
  <c r="N31" s="1"/>
  <c r="L30"/>
  <c r="L29"/>
  <c r="L28"/>
  <c r="N28" s="1"/>
  <c r="L27"/>
  <c r="N27" s="1"/>
  <c r="L26"/>
  <c r="L25"/>
  <c r="L24"/>
  <c r="N24" s="1"/>
  <c r="L23"/>
  <c r="N23" s="1"/>
  <c r="L22"/>
  <c r="L21"/>
  <c r="L20"/>
  <c r="N20" s="1"/>
  <c r="L19"/>
  <c r="N19" s="1"/>
  <c r="L18"/>
  <c r="L17"/>
  <c r="L16"/>
  <c r="N16" s="1"/>
  <c r="L15"/>
  <c r="N15" s="1"/>
  <c r="L14"/>
  <c r="L13"/>
  <c r="L12"/>
  <c r="N12" s="1"/>
  <c r="L11"/>
  <c r="N11" s="1"/>
  <c r="L9"/>
  <c r="L8"/>
  <c r="N8" s="1"/>
  <c r="L7"/>
  <c r="N7" s="1"/>
  <c r="L6"/>
  <c r="N6" s="1"/>
  <c r="L5"/>
  <c r="N5" s="1"/>
  <c r="I162"/>
  <c r="L162" s="1"/>
  <c r="N162" s="1"/>
  <c r="I10"/>
  <c r="L10" s="1"/>
  <c r="N10" s="1"/>
  <c r="N161"/>
  <c r="N159"/>
  <c r="N158"/>
  <c r="N157"/>
  <c r="N155"/>
  <c r="N154"/>
  <c r="N153"/>
  <c r="N151"/>
  <c r="N150"/>
  <c r="N149"/>
  <c r="N147"/>
  <c r="N146"/>
  <c r="N145"/>
  <c r="N143"/>
  <c r="N142"/>
  <c r="N141"/>
  <c r="N138"/>
  <c r="N132"/>
  <c r="N131"/>
  <c r="N124"/>
  <c r="N123"/>
  <c r="N120"/>
  <c r="N116"/>
  <c r="N115"/>
  <c r="N112"/>
  <c r="N108"/>
  <c r="N107"/>
  <c r="N104"/>
  <c r="N100"/>
  <c r="N99"/>
  <c r="N96"/>
  <c r="N95"/>
  <c r="N94"/>
  <c r="N91"/>
  <c r="N90"/>
  <c r="N87"/>
  <c r="N86"/>
  <c r="N83"/>
  <c r="N82"/>
  <c r="N79"/>
  <c r="N78"/>
  <c r="N75"/>
  <c r="N74"/>
  <c r="N71"/>
  <c r="N70"/>
  <c r="N66"/>
  <c r="N63"/>
  <c r="N59"/>
  <c r="N58"/>
  <c r="N55"/>
  <c r="N51"/>
  <c r="N49"/>
  <c r="N47"/>
  <c r="N43"/>
  <c r="N42"/>
  <c r="N39"/>
  <c r="N38"/>
  <c r="N37"/>
  <c r="N34"/>
  <c r="N33"/>
  <c r="N30"/>
  <c r="N29"/>
  <c r="N26"/>
  <c r="N25"/>
  <c r="N22"/>
  <c r="N21"/>
  <c r="N18"/>
  <c r="N17"/>
  <c r="N14"/>
  <c r="N13"/>
  <c r="N9"/>
  <c r="F64" i="8"/>
  <c r="I64" s="1"/>
  <c r="K64" s="1"/>
  <c r="K80" i="20" l="1"/>
  <c r="K101" i="13"/>
  <c r="D11" i="27" s="1"/>
  <c r="D19"/>
  <c r="N203" i="10"/>
  <c r="D8" i="27" s="1"/>
  <c r="K12" i="19"/>
  <c r="D18" i="27" s="1"/>
  <c r="F22" i="23"/>
  <c r="I22" s="1"/>
  <c r="K22" s="1"/>
  <c r="F19" l="1"/>
  <c r="I19" s="1"/>
  <c r="K19" s="1"/>
  <c r="F7"/>
  <c r="I7" s="1"/>
  <c r="K7" s="1"/>
  <c r="F5"/>
  <c r="I5" s="1"/>
  <c r="K5" s="1"/>
  <c r="K26" l="1"/>
  <c r="F9" i="18"/>
  <c r="I9" s="1"/>
  <c r="K9" s="1"/>
  <c r="F8"/>
  <c r="I8" s="1"/>
  <c r="K8" s="1"/>
  <c r="F11" i="17"/>
  <c r="I11" s="1"/>
  <c r="K11" s="1"/>
  <c r="K17" s="1"/>
  <c r="D14" i="27" s="1"/>
  <c r="L19" i="23" l="1"/>
  <c r="L24"/>
  <c r="L25"/>
  <c r="K17" i="18"/>
  <c r="D17" i="27" s="1"/>
  <c r="L7" i="23"/>
  <c r="D20" i="27"/>
  <c r="L20" i="23"/>
  <c r="L16"/>
  <c r="L12"/>
  <c r="L8"/>
  <c r="L13"/>
  <c r="L23"/>
  <c r="L17"/>
  <c r="L11"/>
  <c r="L18"/>
  <c r="L14"/>
  <c r="L10"/>
  <c r="L6"/>
  <c r="L21"/>
  <c r="L15"/>
  <c r="L9"/>
  <c r="L22"/>
  <c r="L5"/>
  <c r="F16" i="16"/>
  <c r="F8"/>
  <c r="I8" l="1"/>
  <c r="K8" s="1"/>
  <c r="I16"/>
  <c r="K16" s="1"/>
  <c r="F21" i="12"/>
  <c r="K21" s="1"/>
  <c r="K30" s="1"/>
  <c r="D10" i="27" s="1"/>
  <c r="K17" i="9"/>
  <c r="K27" s="1"/>
  <c r="D7" i="27" s="1"/>
  <c r="F55" i="8"/>
  <c r="F18"/>
  <c r="K36" i="16" l="1"/>
  <c r="D13" i="27" s="1"/>
  <c r="I18" i="8"/>
  <c r="K18" s="1"/>
  <c r="I55"/>
  <c r="K55" s="1"/>
  <c r="K94" l="1"/>
  <c r="D6" i="27" s="1"/>
  <c r="D22" s="1"/>
  <c r="E9" s="1"/>
  <c r="E19" l="1"/>
  <c r="E21"/>
  <c r="E17"/>
  <c r="E6"/>
  <c r="E16"/>
  <c r="E11"/>
  <c r="E13"/>
  <c r="E14"/>
  <c r="E18"/>
  <c r="E12"/>
  <c r="E20"/>
  <c r="E10"/>
  <c r="E15"/>
  <c r="E8"/>
  <c r="E7"/>
</calcChain>
</file>

<file path=xl/sharedStrings.xml><?xml version="1.0" encoding="utf-8"?>
<sst xmlns="http://schemas.openxmlformats.org/spreadsheetml/2006/main" count="3163" uniqueCount="2281">
  <si>
    <t>SLNO</t>
  </si>
  <si>
    <t xml:space="preserve">PART NO </t>
  </si>
  <si>
    <t>DESCRIPTION</t>
  </si>
  <si>
    <t>PHY QTY</t>
  </si>
  <si>
    <t>33K/0603/5%</t>
  </si>
  <si>
    <t>432E/0603/1%</t>
  </si>
  <si>
    <t>200K/0603/1%</t>
  </si>
  <si>
    <t>10E/0603/1%</t>
  </si>
  <si>
    <t>100K/0603/1%</t>
  </si>
  <si>
    <t>MD7S/SO</t>
  </si>
  <si>
    <t>1E/1206/1%</t>
  </si>
  <si>
    <t>330E/1206/1%</t>
  </si>
  <si>
    <t>9.53K/0805/1%</t>
  </si>
  <si>
    <t>68.1K/0805/1%</t>
  </si>
  <si>
    <t>15K/1206/1%</t>
  </si>
  <si>
    <t>SM4007/MELF(1A/1KV)</t>
  </si>
  <si>
    <t>332K/1206/1%</t>
  </si>
  <si>
    <t>7.5K/1206/1%</t>
  </si>
  <si>
    <t>FSM 106-TMELF UF4003</t>
  </si>
  <si>
    <t>100K/0603</t>
  </si>
  <si>
    <t>100R/0805/1%</t>
  </si>
  <si>
    <t xml:space="preserve">SM 18 WATT VER 4.2 </t>
  </si>
  <si>
    <t>BARE PCB</t>
  </si>
  <si>
    <t>SL-CONT</t>
  </si>
  <si>
    <t>E27-CS-EM1</t>
  </si>
  <si>
    <t>BRIDGE DIODE</t>
  </si>
  <si>
    <t>SMUA2121 207 1P</t>
  </si>
  <si>
    <t>MSU2N60</t>
  </si>
  <si>
    <t>SIM BRIDGE DIODE</t>
  </si>
  <si>
    <t>S2G</t>
  </si>
  <si>
    <t>B32922C3104K6</t>
  </si>
  <si>
    <t>CAPACITOR</t>
  </si>
  <si>
    <t>33PF</t>
  </si>
  <si>
    <t>CAPACITOR(YELLOW)</t>
  </si>
  <si>
    <t>connuctor</t>
  </si>
  <si>
    <t>SR3100</t>
  </si>
  <si>
    <t>DIODE</t>
  </si>
  <si>
    <t>IN4007</t>
  </si>
  <si>
    <t>PK IN 5333B</t>
  </si>
  <si>
    <t>SR260</t>
  </si>
  <si>
    <t>DISC CAPACITOR</t>
  </si>
  <si>
    <t>TUBE LIGHT 4.4 VER</t>
  </si>
  <si>
    <t>ELECTROLYTIC CAPACITOR</t>
  </si>
  <si>
    <t>HEAT SINK STRIP</t>
  </si>
  <si>
    <t xml:space="preserve">HEAT SINK  </t>
  </si>
  <si>
    <t>HEAT SINK COMPOND</t>
  </si>
  <si>
    <t>SM3300</t>
  </si>
  <si>
    <t>IC</t>
  </si>
  <si>
    <t>CS8902</t>
  </si>
  <si>
    <t xml:space="preserve">FAN7346MX SCR SGP </t>
  </si>
  <si>
    <t>23AB FO8H60S</t>
  </si>
  <si>
    <t>FL7930BMX SCR SGP</t>
  </si>
  <si>
    <t>B19AC FLS 1800XS</t>
  </si>
  <si>
    <t>1B46AC-FDPF12N60 NZ</t>
  </si>
  <si>
    <t>12F675</t>
  </si>
  <si>
    <t>3.3MH</t>
  </si>
  <si>
    <t>INDUCTOR</t>
  </si>
  <si>
    <t xml:space="preserve">SMLW56RGB,1W  </t>
  </si>
  <si>
    <t>LED</t>
  </si>
  <si>
    <t>EW3528D-0201-XBXC-0558</t>
  </si>
  <si>
    <t>PM2B-1LWE</t>
  </si>
  <si>
    <t>LEDS</t>
  </si>
  <si>
    <t>NICHIA 0.5 WATT MILKY WHITE</t>
  </si>
  <si>
    <t>6070 HIGH POWER EDISON LEDS</t>
  </si>
  <si>
    <t>T10-TUBE LIGHT MCPCB</t>
  </si>
  <si>
    <t>MC PCB</t>
  </si>
  <si>
    <t>T10-TUBE LIGHT MCPCB V1</t>
  </si>
  <si>
    <t>T8 TUBE LIGHT MC PCB 140 LEDS</t>
  </si>
  <si>
    <t>T8 TUBE LIGHT MC PCB 150 LEDS</t>
  </si>
  <si>
    <t>91 LEDS -Tubelight MCPCB</t>
  </si>
  <si>
    <t>T8 TUBE LIGHT MC PCB</t>
  </si>
  <si>
    <t>T8 TUBE LIGHT MC PCB V1</t>
  </si>
  <si>
    <t>SEM VER 1.0 MC PCB 120LEDS</t>
  </si>
  <si>
    <t>CIRCULAR MC PCB 10LED</t>
  </si>
  <si>
    <t>10 WATT CIRCULAR MC PCB WITH LED ASSEMBLED</t>
  </si>
  <si>
    <t>15 WATT CIRCULAR MC PCB WITH LED ASSEMBLED</t>
  </si>
  <si>
    <t>20 WATT CIRCULAR MC PCB WITH LED ASSEMBLED</t>
  </si>
  <si>
    <t>20 Watt circular</t>
  </si>
  <si>
    <t>MCPCB</t>
  </si>
  <si>
    <t>10 WATT CIRCULAR</t>
  </si>
  <si>
    <t>15 WATT CIRCULAR</t>
  </si>
  <si>
    <t>SMUA2121 A 207 1P</t>
  </si>
  <si>
    <t>MOSFET</t>
  </si>
  <si>
    <t>5N50</t>
  </si>
  <si>
    <t>MSU2NGO</t>
  </si>
  <si>
    <t>MOV</t>
  </si>
  <si>
    <t>222M/400V</t>
  </si>
  <si>
    <t>PCB</t>
  </si>
  <si>
    <t>E27-SEM REV 3.2</t>
  </si>
  <si>
    <t>LEUWD1W401 OSRAM STAR LED</t>
  </si>
  <si>
    <t xml:space="preserve">SAMPLES </t>
  </si>
  <si>
    <t>LYG6SP-CBDB-45-1-140-R182 OSRAM LEDS</t>
  </si>
  <si>
    <t>GE 2000</t>
  </si>
  <si>
    <t>SILENT</t>
  </si>
  <si>
    <t>100PF/0805/1%</t>
  </si>
  <si>
    <t>10K/0603/1 %</t>
  </si>
  <si>
    <t>SMD RESISTORE</t>
  </si>
  <si>
    <t>1M/0805/1%</t>
  </si>
  <si>
    <t>100E/0805/1%</t>
  </si>
  <si>
    <t>10K/1206/1%</t>
  </si>
  <si>
    <t>49.9K/0603/1%</t>
  </si>
  <si>
    <t>390E/0603/1%</t>
  </si>
  <si>
    <t>150R/1206/1%</t>
  </si>
  <si>
    <t>430R/0603/1%</t>
  </si>
  <si>
    <t>510K/0603/1%</t>
  </si>
  <si>
    <t>1.5K/0805/1%</t>
  </si>
  <si>
    <t>100K/0805/1%</t>
  </si>
  <si>
    <t>330E/</t>
  </si>
  <si>
    <t>1.8MEG/0805/1%</t>
  </si>
  <si>
    <t>0R/0603/1%</t>
  </si>
  <si>
    <t>3K/1206/1%</t>
  </si>
  <si>
    <t>10K/0603/1%</t>
  </si>
  <si>
    <t>68.1K/1206/1%</t>
  </si>
  <si>
    <t>150K/0603/1%</t>
  </si>
  <si>
    <t>10R/0603/1%</t>
  </si>
  <si>
    <t>240K/0805/1%</t>
  </si>
  <si>
    <t>MFD/0805</t>
  </si>
  <si>
    <t>430E/0603/1%</t>
  </si>
  <si>
    <t>510K/0805/1%</t>
  </si>
  <si>
    <t>2A102K</t>
  </si>
  <si>
    <t>1MF/50V</t>
  </si>
  <si>
    <t>24.9K/1206/1%</t>
  </si>
  <si>
    <t>0E/0603/1%</t>
  </si>
  <si>
    <t>160PF/0603/1%</t>
  </si>
  <si>
    <t>20E/1206/1%</t>
  </si>
  <si>
    <t>V20-C/1+NPE,320V</t>
  </si>
  <si>
    <t>SWITCH</t>
  </si>
  <si>
    <t>TNR-C20</t>
  </si>
  <si>
    <t>ZENER DIODE</t>
  </si>
  <si>
    <t>91 LED TUBE LIGHT STRIP (EDISON LED)</t>
  </si>
  <si>
    <t>WU2180-07 ,3WATT LED</t>
  </si>
  <si>
    <t>UNIT PRICE</t>
  </si>
  <si>
    <t>SEM VER 1.0 MC PCB 140LEDS</t>
  </si>
  <si>
    <t>FM-5630WLS-460W-R80(WW)</t>
  </si>
  <si>
    <t>FM-5630WNS-460W-R80 (MW)</t>
  </si>
  <si>
    <t>CIRCULAR MC PCB 15LED</t>
  </si>
  <si>
    <t>AMOUNT</t>
  </si>
  <si>
    <t>BROWN TAPE 2"</t>
  </si>
  <si>
    <t>TAPE</t>
  </si>
  <si>
    <t>Wire</t>
  </si>
  <si>
    <t>14 Stands Black Wire (Bundle)</t>
  </si>
  <si>
    <t>Cello Tape</t>
  </si>
  <si>
    <t>3 WATT CIRCULAR MC PCB WITH LED ASSEMBLED(CN)</t>
  </si>
  <si>
    <t>6 WATT CIRCULAR MC PCB(CN)</t>
  </si>
  <si>
    <t>18 WATT CIRCULAR MC PCB(CN)</t>
  </si>
  <si>
    <t>30 WATT CIRCULAR MC PCB (CN)</t>
  </si>
  <si>
    <t>TOTAL</t>
  </si>
  <si>
    <t>connector</t>
  </si>
  <si>
    <t>2 Pin Ac connector</t>
  </si>
  <si>
    <t>5 Pin Ac  connector</t>
  </si>
  <si>
    <t>CATAGARE NO</t>
  </si>
  <si>
    <t>RS01001</t>
  </si>
  <si>
    <t>RS01002</t>
  </si>
  <si>
    <t>RS01003</t>
  </si>
  <si>
    <t>RS01004</t>
  </si>
  <si>
    <t>RS01005</t>
  </si>
  <si>
    <t>RS01006</t>
  </si>
  <si>
    <t>RS01007</t>
  </si>
  <si>
    <t>RS01008</t>
  </si>
  <si>
    <t>RS01009</t>
  </si>
  <si>
    <t>RS01010</t>
  </si>
  <si>
    <t>RS01011</t>
  </si>
  <si>
    <t>RS01012</t>
  </si>
  <si>
    <t>RS01013</t>
  </si>
  <si>
    <t>RS01014</t>
  </si>
  <si>
    <t>RS01015</t>
  </si>
  <si>
    <t>RS01016</t>
  </si>
  <si>
    <t>RS01017</t>
  </si>
  <si>
    <t>RS01018</t>
  </si>
  <si>
    <t>RS01019</t>
  </si>
  <si>
    <t>RS01020</t>
  </si>
  <si>
    <t>RS01021</t>
  </si>
  <si>
    <t>RS01022</t>
  </si>
  <si>
    <t>RS01023</t>
  </si>
  <si>
    <t>RS01024</t>
  </si>
  <si>
    <t>RS01025</t>
  </si>
  <si>
    <t>RS01026</t>
  </si>
  <si>
    <t>RS01027</t>
  </si>
  <si>
    <t>RS01028</t>
  </si>
  <si>
    <t>RS01029</t>
  </si>
  <si>
    <t>RS01030</t>
  </si>
  <si>
    <t>RS01031</t>
  </si>
  <si>
    <t>RS01032</t>
  </si>
  <si>
    <t>RS01033</t>
  </si>
  <si>
    <t>RS01034</t>
  </si>
  <si>
    <t>RS01035</t>
  </si>
  <si>
    <t>RS01036</t>
  </si>
  <si>
    <t>RS01037</t>
  </si>
  <si>
    <t>RS01038</t>
  </si>
  <si>
    <t>RS01039</t>
  </si>
  <si>
    <t>RS01040</t>
  </si>
  <si>
    <t>RS01041</t>
  </si>
  <si>
    <t>RS01042</t>
  </si>
  <si>
    <t>RS01043</t>
  </si>
  <si>
    <t>RS01044</t>
  </si>
  <si>
    <t>RS01045</t>
  </si>
  <si>
    <t>RS01046</t>
  </si>
  <si>
    <t>RS01047</t>
  </si>
  <si>
    <t>RS01048</t>
  </si>
  <si>
    <t>RS01049</t>
  </si>
  <si>
    <t>RS01050</t>
  </si>
  <si>
    <t>RS01051</t>
  </si>
  <si>
    <t>RS01052</t>
  </si>
  <si>
    <t>RS01053</t>
  </si>
  <si>
    <t>RS01054</t>
  </si>
  <si>
    <t>RS01055</t>
  </si>
  <si>
    <t>RS01056</t>
  </si>
  <si>
    <t>RS01057</t>
  </si>
  <si>
    <t>RS01058</t>
  </si>
  <si>
    <t>RS01059</t>
  </si>
  <si>
    <t>RS01060</t>
  </si>
  <si>
    <t>RS01061</t>
  </si>
  <si>
    <t>RS01062</t>
  </si>
  <si>
    <t>RS01063</t>
  </si>
  <si>
    <t>RS01064</t>
  </si>
  <si>
    <t>RS01065</t>
  </si>
  <si>
    <t>RS01066</t>
  </si>
  <si>
    <t>RS01067</t>
  </si>
  <si>
    <t>RS01068</t>
  </si>
  <si>
    <t>RS01069</t>
  </si>
  <si>
    <t>RS01070</t>
  </si>
  <si>
    <t>RS01071</t>
  </si>
  <si>
    <t>RS01072</t>
  </si>
  <si>
    <t>RS01073</t>
  </si>
  <si>
    <t>RS01074</t>
  </si>
  <si>
    <t>RS01075</t>
  </si>
  <si>
    <t>RS01076</t>
  </si>
  <si>
    <t>RS01077</t>
  </si>
  <si>
    <t>RS01078</t>
  </si>
  <si>
    <t>RS01079</t>
  </si>
  <si>
    <t>RS01080</t>
  </si>
  <si>
    <t>RS01081</t>
  </si>
  <si>
    <t>RS01082</t>
  </si>
  <si>
    <t>RS01083</t>
  </si>
  <si>
    <t>RS01084</t>
  </si>
  <si>
    <t>RS01085</t>
  </si>
  <si>
    <t>RS01086</t>
  </si>
  <si>
    <t>RS01087</t>
  </si>
  <si>
    <t>RS01088</t>
  </si>
  <si>
    <t>RS01089</t>
  </si>
  <si>
    <t>RS01090</t>
  </si>
  <si>
    <t>RS01091</t>
  </si>
  <si>
    <t>RS01092</t>
  </si>
  <si>
    <t>RS01093</t>
  </si>
  <si>
    <t>RS01094</t>
  </si>
  <si>
    <t>RS01095</t>
  </si>
  <si>
    <t>RS01096</t>
  </si>
  <si>
    <t>LD00001</t>
  </si>
  <si>
    <t>LD00002</t>
  </si>
  <si>
    <t>LD00003</t>
  </si>
  <si>
    <t>LD00004</t>
  </si>
  <si>
    <t>LD00005</t>
  </si>
  <si>
    <t>LD00006</t>
  </si>
  <si>
    <t>LD00007</t>
  </si>
  <si>
    <t>LD00008</t>
  </si>
  <si>
    <t>LD00009</t>
  </si>
  <si>
    <t>LD00010</t>
  </si>
  <si>
    <t>LD00011</t>
  </si>
  <si>
    <t>LD00012</t>
  </si>
  <si>
    <t>MF02001</t>
  </si>
  <si>
    <t>MF02002</t>
  </si>
  <si>
    <t>MF02003</t>
  </si>
  <si>
    <t>CP04001</t>
  </si>
  <si>
    <t>CP04002</t>
  </si>
  <si>
    <t>CP04003</t>
  </si>
  <si>
    <t>CP04004</t>
  </si>
  <si>
    <t>CP04005</t>
  </si>
  <si>
    <t>CP04006</t>
  </si>
  <si>
    <t>CP04007</t>
  </si>
  <si>
    <t>CP04008</t>
  </si>
  <si>
    <t>CP04009</t>
  </si>
  <si>
    <t>CP04011</t>
  </si>
  <si>
    <t>CP04012</t>
  </si>
  <si>
    <t>CP04013</t>
  </si>
  <si>
    <t>CP04014</t>
  </si>
  <si>
    <t>CP04015</t>
  </si>
  <si>
    <t>DE05001</t>
  </si>
  <si>
    <t>DE05002</t>
  </si>
  <si>
    <t>DE05003</t>
  </si>
  <si>
    <t>DE05004</t>
  </si>
  <si>
    <t>DE05005</t>
  </si>
  <si>
    <t>DE05006</t>
  </si>
  <si>
    <t>DE05007</t>
  </si>
  <si>
    <t>DE05008</t>
  </si>
  <si>
    <t>DE05009</t>
  </si>
  <si>
    <t>DE05010</t>
  </si>
  <si>
    <t>DE05011</t>
  </si>
  <si>
    <t>DE05012</t>
  </si>
  <si>
    <t>CP04016</t>
  </si>
  <si>
    <t>CP04017</t>
  </si>
  <si>
    <t>CP04018</t>
  </si>
  <si>
    <t>CP04019</t>
  </si>
  <si>
    <t>CP04020</t>
  </si>
  <si>
    <t>CP04021</t>
  </si>
  <si>
    <t>IN08001</t>
  </si>
  <si>
    <t>PCB09001</t>
  </si>
  <si>
    <t>PCB09002</t>
  </si>
  <si>
    <t>PCB09003</t>
  </si>
  <si>
    <t>PCB09004</t>
  </si>
  <si>
    <t>PCB09005</t>
  </si>
  <si>
    <t>PCB09006</t>
  </si>
  <si>
    <t>PCB09007</t>
  </si>
  <si>
    <t>PCB09008</t>
  </si>
  <si>
    <t>PCB09009</t>
  </si>
  <si>
    <t>PCB09010</t>
  </si>
  <si>
    <t>PCB09011</t>
  </si>
  <si>
    <t>PCB09012</t>
  </si>
  <si>
    <t>PCB09013</t>
  </si>
  <si>
    <t>PCB09014</t>
  </si>
  <si>
    <t>PCB09015</t>
  </si>
  <si>
    <t>PCB09016</t>
  </si>
  <si>
    <t>PCB09017</t>
  </si>
  <si>
    <t>PCB09018</t>
  </si>
  <si>
    <t>PCB09019</t>
  </si>
  <si>
    <t>PCB09020</t>
  </si>
  <si>
    <t>PCB09021</t>
  </si>
  <si>
    <t>PCB09022</t>
  </si>
  <si>
    <t>PCB09023</t>
  </si>
  <si>
    <t>PCB09024</t>
  </si>
  <si>
    <t>PCB09025</t>
  </si>
  <si>
    <t>PCB09026</t>
  </si>
  <si>
    <t>PCB09027</t>
  </si>
  <si>
    <t>PCB09028</t>
  </si>
  <si>
    <t>PCB09029</t>
  </si>
  <si>
    <t>PCB09030</t>
  </si>
  <si>
    <t>EQ10001</t>
  </si>
  <si>
    <t>EQ10002</t>
  </si>
  <si>
    <t>EQ10003</t>
  </si>
  <si>
    <t>EQ10004</t>
  </si>
  <si>
    <t>EQ10005</t>
  </si>
  <si>
    <t>MOV11001</t>
  </si>
  <si>
    <t>MOV11002</t>
  </si>
  <si>
    <t>WR12001</t>
  </si>
  <si>
    <t>WR12002</t>
  </si>
  <si>
    <t>HS03001</t>
  </si>
  <si>
    <t>HS03002</t>
  </si>
  <si>
    <t>CR18001</t>
  </si>
  <si>
    <t>CR18002</t>
  </si>
  <si>
    <t>CR18003</t>
  </si>
  <si>
    <t>IC15001</t>
  </si>
  <si>
    <t>IC15002</t>
  </si>
  <si>
    <t>IC15003</t>
  </si>
  <si>
    <t>IC15004</t>
  </si>
  <si>
    <t>IC15005</t>
  </si>
  <si>
    <t>IC15006</t>
  </si>
  <si>
    <t>IC15007</t>
  </si>
  <si>
    <t>IC15008</t>
  </si>
  <si>
    <t>IC15009</t>
  </si>
  <si>
    <t>SL NO</t>
  </si>
  <si>
    <t>RAWMATERIAL CODE</t>
  </si>
  <si>
    <t>SM0105IC15001</t>
  </si>
  <si>
    <t>VN0035IC15005</t>
  </si>
  <si>
    <t>VN0035IC15006</t>
  </si>
  <si>
    <t>VN0035IC15007</t>
  </si>
  <si>
    <t>VN0035IC15008</t>
  </si>
  <si>
    <t>VN0035IC15009</t>
  </si>
  <si>
    <t>MF02004</t>
  </si>
  <si>
    <t>VN0035IC15004</t>
  </si>
  <si>
    <t>SM0105IC15002</t>
  </si>
  <si>
    <t>SM0105IC15003</t>
  </si>
  <si>
    <t>VN0051EQ10001</t>
  </si>
  <si>
    <t>VN0009EQ10002</t>
  </si>
  <si>
    <t>VN0009EQ10003</t>
  </si>
  <si>
    <t>VN0018WR12001</t>
  </si>
  <si>
    <t>VN0018WR12002</t>
  </si>
  <si>
    <t>VN0083MOV11001</t>
  </si>
  <si>
    <t>VN0083MOV11002</t>
  </si>
  <si>
    <t>SM0105MF02001</t>
  </si>
  <si>
    <t>SM0105MF02002</t>
  </si>
  <si>
    <t>SM0105MF02003</t>
  </si>
  <si>
    <t>SM0105MF02004</t>
  </si>
  <si>
    <t>VN0080IN08001</t>
  </si>
  <si>
    <t>VN0009HS03001</t>
  </si>
  <si>
    <t>VN0009HS03002</t>
  </si>
  <si>
    <t>VN0083CP04001</t>
  </si>
  <si>
    <t>VN0082CP04002</t>
  </si>
  <si>
    <t>VN0082CP04003</t>
  </si>
  <si>
    <t>VN0083CP04004</t>
  </si>
  <si>
    <t>VN0082CP04005</t>
  </si>
  <si>
    <t>VN0082CP04006</t>
  </si>
  <si>
    <t>VN0082CP04007</t>
  </si>
  <si>
    <t>VN0082CP04008</t>
  </si>
  <si>
    <t>VN0082CP04009</t>
  </si>
  <si>
    <t>VN0082CP04011</t>
  </si>
  <si>
    <t>VN0082CP04012</t>
  </si>
  <si>
    <t>VN0082CP04013</t>
  </si>
  <si>
    <t>VN0082CP04014</t>
  </si>
  <si>
    <t>VN0082CP04015</t>
  </si>
  <si>
    <t>VN0082CP04016</t>
  </si>
  <si>
    <t>VN0082CP04017</t>
  </si>
  <si>
    <t>VN0082CP04018</t>
  </si>
  <si>
    <t>VN0082CP04019</t>
  </si>
  <si>
    <t>VN0082CP04020</t>
  </si>
  <si>
    <t>VN0082CP04021</t>
  </si>
  <si>
    <t>VN0094LD00002</t>
  </si>
  <si>
    <t>VN0094LD00004</t>
  </si>
  <si>
    <t>VN0094LD00005</t>
  </si>
  <si>
    <t>VN0094LD00006</t>
  </si>
  <si>
    <t>VN0108LD00007</t>
  </si>
  <si>
    <t>VN0109LD00008</t>
  </si>
  <si>
    <t>VN0030LD00009</t>
  </si>
  <si>
    <t>VN0030LD00010</t>
  </si>
  <si>
    <t>VN0107LD00011</t>
  </si>
  <si>
    <t>VN0107LD00012</t>
  </si>
  <si>
    <t>VN0110LD00003</t>
  </si>
  <si>
    <t>SMLW56LD00001</t>
  </si>
  <si>
    <t>VN0031CR18001</t>
  </si>
  <si>
    <t>VN0031CR18002</t>
  </si>
  <si>
    <t>VN0031CR18003</t>
  </si>
  <si>
    <t>VN0089RS01001</t>
  </si>
  <si>
    <t>VN0089RS01002</t>
  </si>
  <si>
    <t>VN0089RS01003</t>
  </si>
  <si>
    <t>VN0089RS01004</t>
  </si>
  <si>
    <t>VN0089RS01005</t>
  </si>
  <si>
    <t>VN0089RS01006</t>
  </si>
  <si>
    <t>VN0089RS01007</t>
  </si>
  <si>
    <t>VN0089RS01008</t>
  </si>
  <si>
    <t>VN0089RS01009</t>
  </si>
  <si>
    <t>VN0089RS01010</t>
  </si>
  <si>
    <t>VN0089RS01011</t>
  </si>
  <si>
    <t>VN0089RS01012</t>
  </si>
  <si>
    <t>VN0089RS01013</t>
  </si>
  <si>
    <t>VN0089RS01014</t>
  </si>
  <si>
    <t>VN0089RS01015</t>
  </si>
  <si>
    <t>VN0089RS01016</t>
  </si>
  <si>
    <t>VN0089RS01017</t>
  </si>
  <si>
    <t>VN0089RS01018</t>
  </si>
  <si>
    <t>VN0089RS01019</t>
  </si>
  <si>
    <t>VN0089RS01020</t>
  </si>
  <si>
    <t>VN0089RS01021</t>
  </si>
  <si>
    <t>VN0089RS01022</t>
  </si>
  <si>
    <t>VN0089RS01023</t>
  </si>
  <si>
    <t>VN0089RS01024</t>
  </si>
  <si>
    <t>VN0089RS01025</t>
  </si>
  <si>
    <t>VN0089RS01026</t>
  </si>
  <si>
    <t>VN0089RS01027</t>
  </si>
  <si>
    <t>VN0089RS01028</t>
  </si>
  <si>
    <t>VN0089RS01029</t>
  </si>
  <si>
    <t>VN0089RS01030</t>
  </si>
  <si>
    <t>VN0089RS01031</t>
  </si>
  <si>
    <t>VN0089RS01032</t>
  </si>
  <si>
    <t>VN0089RS01033</t>
  </si>
  <si>
    <t>VN0089RS01034</t>
  </si>
  <si>
    <t>VN0089RS01035</t>
  </si>
  <si>
    <t>VN0089RS01036</t>
  </si>
  <si>
    <t>VN0089RS01037</t>
  </si>
  <si>
    <t>VN0089RS01038</t>
  </si>
  <si>
    <t>VN0089RS01039</t>
  </si>
  <si>
    <t>VN0089RS01040</t>
  </si>
  <si>
    <t>VN0089RS01041</t>
  </si>
  <si>
    <t>VN0089RS01042</t>
  </si>
  <si>
    <t>VN0089RS01043</t>
  </si>
  <si>
    <t>VN0089RS01044</t>
  </si>
  <si>
    <t>VN0089RS01045</t>
  </si>
  <si>
    <t>VN0089RS01046</t>
  </si>
  <si>
    <t>VN0089RS01047</t>
  </si>
  <si>
    <t>VN0089RS01048</t>
  </si>
  <si>
    <t>VN0089RS01049</t>
  </si>
  <si>
    <t>VN0089RS01050</t>
  </si>
  <si>
    <t>VN0089RS01051</t>
  </si>
  <si>
    <t>VN0089RS01052</t>
  </si>
  <si>
    <t>VN0089RS01053</t>
  </si>
  <si>
    <t>VN0089RS01054</t>
  </si>
  <si>
    <t>VN0089RS01055</t>
  </si>
  <si>
    <t>VN0089RS01056</t>
  </si>
  <si>
    <t>VN0089RS01057</t>
  </si>
  <si>
    <t>VN0089RS01058</t>
  </si>
  <si>
    <t>VN0089RS01059</t>
  </si>
  <si>
    <t>VN0089RS01060</t>
  </si>
  <si>
    <t>VN0089RS01061</t>
  </si>
  <si>
    <t>VN0089RS01062</t>
  </si>
  <si>
    <t>VN0089RS01063</t>
  </si>
  <si>
    <t>VN0089RS01064</t>
  </si>
  <si>
    <t>VN0089RS01065</t>
  </si>
  <si>
    <t>VN0089RS01066</t>
  </si>
  <si>
    <t>VN0089RS01067</t>
  </si>
  <si>
    <t>VN0089RS01068</t>
  </si>
  <si>
    <t>VN0089RS01069</t>
  </si>
  <si>
    <t>VN0089RS01070</t>
  </si>
  <si>
    <t>VN0089RS01071</t>
  </si>
  <si>
    <t>VN0089RS01072</t>
  </si>
  <si>
    <t>VN0089RS01073</t>
  </si>
  <si>
    <t>VN0089RS01074</t>
  </si>
  <si>
    <t>VN0089RS01075</t>
  </si>
  <si>
    <t>VN0089RS01076</t>
  </si>
  <si>
    <t>VN0089RS01077</t>
  </si>
  <si>
    <t>VN0089RS01078</t>
  </si>
  <si>
    <t>VN0089RS01079</t>
  </si>
  <si>
    <t>VN0089RS01080</t>
  </si>
  <si>
    <t>VN0089RS01081</t>
  </si>
  <si>
    <t>VN0089RS01082</t>
  </si>
  <si>
    <t>VN0089RS01083</t>
  </si>
  <si>
    <t>VN0089RS01084</t>
  </si>
  <si>
    <t>VN0089RS01085</t>
  </si>
  <si>
    <t>VN0089RS01086</t>
  </si>
  <si>
    <t>VN0089RS01087</t>
  </si>
  <si>
    <t>VN0089RS01088</t>
  </si>
  <si>
    <t>VN0089DE05001</t>
  </si>
  <si>
    <t>SM0105DE05002</t>
  </si>
  <si>
    <t>SM0105DE05003</t>
  </si>
  <si>
    <t>SM0105DE05005</t>
  </si>
  <si>
    <t>VN0089DE05006</t>
  </si>
  <si>
    <t>VN0101DE05007</t>
  </si>
  <si>
    <t>VN0101DE05008</t>
  </si>
  <si>
    <t>VN0101DE05012</t>
  </si>
  <si>
    <t>VN0064DE05004</t>
  </si>
  <si>
    <t>VN0064DE05009</t>
  </si>
  <si>
    <t>VN0064DE05010</t>
  </si>
  <si>
    <t>VN0064DE05011</t>
  </si>
  <si>
    <t>VN0098PCB09001</t>
  </si>
  <si>
    <t>VN0098PCB09002</t>
  </si>
  <si>
    <t>VN0098PCB09003</t>
  </si>
  <si>
    <t>VN0098PCB09004</t>
  </si>
  <si>
    <t>VN0098PCB09005</t>
  </si>
  <si>
    <t>VN0098PCB09006</t>
  </si>
  <si>
    <t>VN0098PCB09007</t>
  </si>
  <si>
    <t>VN0098PCB09008</t>
  </si>
  <si>
    <t>VN0098PCB09009</t>
  </si>
  <si>
    <t>VN0098PCB09010</t>
  </si>
  <si>
    <t>VN0098PCB09011</t>
  </si>
  <si>
    <t>VN0111PCB09012</t>
  </si>
  <si>
    <t>VN0111PCB09013</t>
  </si>
  <si>
    <t>VN0111PCB09014</t>
  </si>
  <si>
    <t>VN0111PCB09015</t>
  </si>
  <si>
    <t>VN0111PCB09016</t>
  </si>
  <si>
    <t>VN0111PCB09017</t>
  </si>
  <si>
    <t>VN0111PCB09018</t>
  </si>
  <si>
    <t>VN0111PCB09019</t>
  </si>
  <si>
    <t>VN0111PCB09020</t>
  </si>
  <si>
    <t>VN0111PCB09021</t>
  </si>
  <si>
    <t>VN0111PCB09022</t>
  </si>
  <si>
    <t>VN0111PCB09023</t>
  </si>
  <si>
    <t>VN0111PCB09024</t>
  </si>
  <si>
    <t>VN0098PCB09025</t>
  </si>
  <si>
    <t>VN0098PCB09026</t>
  </si>
  <si>
    <t>VN0098PCB09027</t>
  </si>
  <si>
    <t>VN0098PCB09028</t>
  </si>
  <si>
    <t>VN0070PCB09029</t>
  </si>
  <si>
    <t>VN0070PCB09030</t>
  </si>
  <si>
    <t>3 WATT CIRCULAR MC PCB(CHINAN)</t>
  </si>
  <si>
    <t>VN0051EQ10002</t>
  </si>
  <si>
    <t>VN0009EQ10004</t>
  </si>
  <si>
    <t>EQ10006</t>
  </si>
  <si>
    <t>EQ10007</t>
  </si>
  <si>
    <t>M3 x 6.5 mm Self Tap Screw</t>
  </si>
  <si>
    <t>Screw</t>
  </si>
  <si>
    <t>VN0031CR18004</t>
  </si>
  <si>
    <t>CR18004</t>
  </si>
  <si>
    <t>2 Pin CPU + PIN MALE</t>
  </si>
  <si>
    <t xml:space="preserve"> 2 Pin CPU + PIN FEMALE</t>
  </si>
  <si>
    <t>F.G.SLEEVING Nonshinkable Sleeve (4MM-WHITE)</t>
  </si>
  <si>
    <t>Nonshinkable Sleeve</t>
  </si>
  <si>
    <t>VN0093EQ10006</t>
  </si>
  <si>
    <t>VN0045EQ10007</t>
  </si>
  <si>
    <t>EQ10008</t>
  </si>
  <si>
    <t>EQ10009</t>
  </si>
  <si>
    <t>EQ10010</t>
  </si>
  <si>
    <t>Shinkable Sleeve</t>
  </si>
  <si>
    <t>VN0112EQ10008</t>
  </si>
  <si>
    <t>14 Stands Red Wire (Bundle)</t>
  </si>
  <si>
    <t>Thermal Adhesive</t>
  </si>
  <si>
    <t>Anabond</t>
  </si>
  <si>
    <t>VN0023EQ10009</t>
  </si>
  <si>
    <t>EQ10011</t>
  </si>
  <si>
    <t>EQ10012</t>
  </si>
  <si>
    <t>EQ10013</t>
  </si>
  <si>
    <t>EQ10014</t>
  </si>
  <si>
    <t>Solder lead</t>
  </si>
  <si>
    <t>Tin Lead</t>
  </si>
  <si>
    <t>VN0073EQ10010</t>
  </si>
  <si>
    <t>VN0073EQ10011</t>
  </si>
  <si>
    <t>Solder flux</t>
  </si>
  <si>
    <t xml:space="preserve">Ammonium Chlride or Rosin </t>
  </si>
  <si>
    <t>VN0073EQ10012</t>
  </si>
  <si>
    <t>I P A</t>
  </si>
  <si>
    <t>ISO PROPYLE ALCHOCOL</t>
  </si>
  <si>
    <t>Cotton waste</t>
  </si>
  <si>
    <t>White Cotton waste</t>
  </si>
  <si>
    <t>Packing Tape</t>
  </si>
  <si>
    <t>2"  50mm Length, Brown Tape</t>
  </si>
  <si>
    <t>VN0002EQ10013</t>
  </si>
  <si>
    <t>EQ10015</t>
  </si>
  <si>
    <t>EQ10016</t>
  </si>
  <si>
    <t>EQ10017</t>
  </si>
  <si>
    <t>VN0113EQ10014</t>
  </si>
  <si>
    <t xml:space="preserve">Packing Box </t>
  </si>
  <si>
    <t>195x195x195mm</t>
  </si>
  <si>
    <t xml:space="preserve">384 Locktite </t>
  </si>
  <si>
    <t>Locktite</t>
  </si>
  <si>
    <t>Polythine Sheet</t>
  </si>
  <si>
    <t>Polyester Film (5Mil-milky)</t>
  </si>
  <si>
    <t>EQ10018</t>
  </si>
  <si>
    <t>203 Fewiquick</t>
  </si>
  <si>
    <t>Fewiquick</t>
  </si>
  <si>
    <t>VN0023EQ10018</t>
  </si>
  <si>
    <t>PCB09031</t>
  </si>
  <si>
    <t>T8 TUBE LIGHT MC PCB 1 FT</t>
  </si>
  <si>
    <t>VN0098PCB09031</t>
  </si>
  <si>
    <t>DIODE STORE STOCK</t>
  </si>
  <si>
    <t>RESISTER STORE STOCK</t>
  </si>
  <si>
    <t>CONNUCTOR STORE STOCK</t>
  </si>
  <si>
    <t>5 WATT CIRCULAR MC PCB WITH LED ASSEMBLED(CN)</t>
  </si>
  <si>
    <t>9 WATT CIRCULAR MC PCB WITH LED ASSEMBLED(CN)</t>
  </si>
  <si>
    <t>15 WATT CIRCULAR MC PCB WITH LED ASSEMBLED(CN)</t>
  </si>
  <si>
    <t>CAPACITOR STORE STOCK</t>
  </si>
  <si>
    <t>VN0111PCB09032</t>
  </si>
  <si>
    <t>VN0111PCB09033</t>
  </si>
  <si>
    <t>VN0111PCB09034</t>
  </si>
  <si>
    <t>PCB09032</t>
  </si>
  <si>
    <t>PCB09033</t>
  </si>
  <si>
    <t>PCB09034</t>
  </si>
  <si>
    <t>3 WATT CIRCULAR MC PCB WITH LED ASSEMBLED(CN)WW</t>
  </si>
  <si>
    <t>9 WATT CIRCULAR MC PCB WITH LED ASSEMBLED(CN)WW</t>
  </si>
  <si>
    <t>20 WATT CIRCULAR MC PCB WITH LED ASSEMBLEDWW</t>
  </si>
  <si>
    <t>MC PCB STORE STOCK</t>
  </si>
  <si>
    <t>LED"S STORE STOCK</t>
  </si>
  <si>
    <t>HEAT SINK STORE STOCK</t>
  </si>
  <si>
    <t>INDUCTORE STORE STOCK</t>
  </si>
  <si>
    <t>MOSFET STORE STOCK</t>
  </si>
  <si>
    <t>MOV STORE STOCK</t>
  </si>
  <si>
    <t>WIRE STORE STOCK</t>
  </si>
  <si>
    <t>VN0041EQ10015</t>
  </si>
  <si>
    <t>VN0045EQ10016</t>
  </si>
  <si>
    <t>VN0023EQ10017</t>
  </si>
  <si>
    <t>ASSAACERIES STORE STOCK</t>
  </si>
  <si>
    <t>IC STORE STOCK</t>
  </si>
  <si>
    <t>SM0105MF02005</t>
  </si>
  <si>
    <t>MF02005</t>
  </si>
  <si>
    <t xml:space="preserve">SMN-2N60 </t>
  </si>
  <si>
    <t>VN0035IC15010</t>
  </si>
  <si>
    <t>IC15010</t>
  </si>
  <si>
    <t>VN0094LD00013</t>
  </si>
  <si>
    <t>HEATSINK</t>
  </si>
  <si>
    <t>WIRE</t>
  </si>
  <si>
    <t>ASSECERIES</t>
  </si>
  <si>
    <t>TOTAL AMOUNT</t>
  </si>
  <si>
    <t>SM6300A</t>
  </si>
  <si>
    <t>VENDER CODE</t>
  </si>
  <si>
    <t>VENDER NAME</t>
  </si>
  <si>
    <t>VN0001</t>
  </si>
  <si>
    <t>A R ENTERPRISES</t>
  </si>
  <si>
    <t>VN0002</t>
  </si>
  <si>
    <t>Asiatic Stationers</t>
  </si>
  <si>
    <t>VN0003</t>
  </si>
  <si>
    <t>Aarthi Electronics</t>
  </si>
  <si>
    <t>VN0004</t>
  </si>
  <si>
    <t>ALTIS LIGHTING SOLUTIONS(MAKLITES GROUP)</t>
  </si>
  <si>
    <t>VN0005</t>
  </si>
  <si>
    <t>ADVANCE MICRO COMPONENTS</t>
  </si>
  <si>
    <t>VN0006</t>
  </si>
  <si>
    <t>AKHILA BHARATH ENTERPRISES</t>
  </si>
  <si>
    <t>VN0007</t>
  </si>
  <si>
    <t xml:space="preserve">ANLITE       </t>
  </si>
  <si>
    <t>VN0008</t>
  </si>
  <si>
    <t>Ananya Products,Mathikere,Mb 93411 31703</t>
  </si>
  <si>
    <t>VN0009</t>
  </si>
  <si>
    <t>ANKIT</t>
  </si>
  <si>
    <t>VN0010</t>
  </si>
  <si>
    <t>ATS TECHNOLOGIES</t>
  </si>
  <si>
    <t>VN0011</t>
  </si>
  <si>
    <t>B  T Technologies</t>
  </si>
  <si>
    <t>VN0012</t>
  </si>
  <si>
    <t>BALAJI GLASS HOUSE</t>
  </si>
  <si>
    <t>VN0013</t>
  </si>
  <si>
    <t>Bangalore Electronics Enterprises</t>
  </si>
  <si>
    <t>VN0014</t>
  </si>
  <si>
    <t>Bhandari Electronics &amp; Electricals</t>
  </si>
  <si>
    <t>VN0015</t>
  </si>
  <si>
    <t>Bruckewell Technology Corp., ltd,Taiwan</t>
  </si>
  <si>
    <t>VN0016</t>
  </si>
  <si>
    <t>BULJIN ELMEC PVT LTD</t>
  </si>
  <si>
    <t>VN0017</t>
  </si>
  <si>
    <t>C A ELECTRONICS</t>
  </si>
  <si>
    <t>VN0018</t>
  </si>
  <si>
    <t>CABLE CRAFTS</t>
  </si>
  <si>
    <t>VN0019</t>
  </si>
  <si>
    <t>CEEPEE Electronics</t>
  </si>
  <si>
    <t>VN0020</t>
  </si>
  <si>
    <t>Chetan Electronics</t>
  </si>
  <si>
    <t>VN0021</t>
  </si>
  <si>
    <t>Chiplus Semiconductor Corp. Taiwan</t>
  </si>
  <si>
    <t>VN0022</t>
  </si>
  <si>
    <t>CORN BILL</t>
  </si>
  <si>
    <t>VN0023</t>
  </si>
  <si>
    <t xml:space="preserve">DARSHAN ELECTRONICS </t>
  </si>
  <si>
    <t>VN0024</t>
  </si>
  <si>
    <t>Digi-Key CORPORATION</t>
  </si>
  <si>
    <t>VN0025</t>
  </si>
  <si>
    <t>DOMINANT OPTO TECHNOLOGIES SDN BHD</t>
  </si>
  <si>
    <t>VN0026</t>
  </si>
  <si>
    <t>Donex Ind Ltd</t>
  </si>
  <si>
    <t>VN0027</t>
  </si>
  <si>
    <t>Dongguan Hongzheng Plastic Produsts Co., Ltd</t>
  </si>
  <si>
    <t>VN0028</t>
  </si>
  <si>
    <t>Dongliansheng Science and Technology Co.Ltd,China</t>
  </si>
  <si>
    <t>VN0029</t>
  </si>
  <si>
    <t>DURGA TRADING COMPANY</t>
  </si>
  <si>
    <t>VN0030</t>
  </si>
  <si>
    <t>EDISON OPTO CORP,FEDEX</t>
  </si>
  <si>
    <t>VN0031</t>
  </si>
  <si>
    <t>VN0032</t>
  </si>
  <si>
    <t>ELECTRONIC HOUSE</t>
  </si>
  <si>
    <t>VN0033</t>
  </si>
  <si>
    <t>Electronika Sales Private LTD</t>
  </si>
  <si>
    <t>VN0034</t>
  </si>
  <si>
    <t>EVERLIGHT ELETRONICS CO., LTD</t>
  </si>
  <si>
    <t>VN0035</t>
  </si>
  <si>
    <t>FAIRCHILD SEMICONDUCTOR</t>
  </si>
  <si>
    <t>VN0036</t>
  </si>
  <si>
    <t>Fonex Luminus</t>
  </si>
  <si>
    <t>VN0037</t>
  </si>
  <si>
    <t>G M Enterprises</t>
  </si>
  <si>
    <t>VN0038</t>
  </si>
  <si>
    <t>Gonghe Electronics Co., Ltd</t>
  </si>
  <si>
    <t>VN0039</t>
  </si>
  <si>
    <t>GOODWILL ENTERPRISES</t>
  </si>
  <si>
    <t>VN0040</t>
  </si>
  <si>
    <t xml:space="preserve">Gulshan Traders </t>
  </si>
  <si>
    <t>VN0041</t>
  </si>
  <si>
    <t>GURUKRIPA ENTERPRISES</t>
  </si>
  <si>
    <t>VN0042</t>
  </si>
  <si>
    <t>Hatimi Enterprises</t>
  </si>
  <si>
    <t>VN0043</t>
  </si>
  <si>
    <t>J B S MAGNETICS</t>
  </si>
  <si>
    <t>VN0044</t>
  </si>
  <si>
    <t>K P Electronics</t>
  </si>
  <si>
    <t>VN0045</t>
  </si>
  <si>
    <t>KABADI DISTRIBUTORS</t>
  </si>
  <si>
    <t>VN0046</t>
  </si>
  <si>
    <t>Kable Crops</t>
  </si>
  <si>
    <t>VN0047</t>
  </si>
  <si>
    <t>Kanchana Induistrial Electronics</t>
  </si>
  <si>
    <t>VN0048</t>
  </si>
  <si>
    <t>Karnataka Electricals &amp; Electronics</t>
  </si>
  <si>
    <t>VN0049</t>
  </si>
  <si>
    <t>Kaveri Electricals</t>
  </si>
  <si>
    <t>VN0050</t>
  </si>
  <si>
    <t>Khushboo Electrical And Company</t>
  </si>
  <si>
    <t>VN0051</t>
  </si>
  <si>
    <t>KOTHARI ELECTROINCS</t>
  </si>
  <si>
    <t>VN0052</t>
  </si>
  <si>
    <t>LEDON LIGHTING SOLUTIONS</t>
  </si>
  <si>
    <t>VN0053</t>
  </si>
  <si>
    <t>Lohmann Adhesive Tapes India Pvt Ltd</t>
  </si>
  <si>
    <t>VN0054</t>
  </si>
  <si>
    <t>M/s ELEKTRONIKA SALES PRIVATE LTD</t>
  </si>
  <si>
    <t>VN0055</t>
  </si>
  <si>
    <t>M/s Vishaal Engineering</t>
  </si>
  <si>
    <t>VN0056</t>
  </si>
  <si>
    <t>MAGNA  TECH</t>
  </si>
  <si>
    <t>VN0057</t>
  </si>
  <si>
    <t>MAHAVEER SALES</t>
  </si>
  <si>
    <t>VN0058</t>
  </si>
  <si>
    <t xml:space="preserve">MAKLITES GROUP AALTIS LIGHTING SOLUTIONS
</t>
  </si>
  <si>
    <t>VN0059</t>
  </si>
  <si>
    <t>MANGALDEEP ENTERPRICES</t>
  </si>
  <si>
    <t>VN0060</t>
  </si>
  <si>
    <t>MANIK ENTERPRISES</t>
  </si>
  <si>
    <t>VN0061</t>
  </si>
  <si>
    <t>Meera Electricals</t>
  </si>
  <si>
    <t>VN0062</t>
  </si>
  <si>
    <t xml:space="preserve">METRO </t>
  </si>
  <si>
    <t>VN0063</t>
  </si>
  <si>
    <t>METRONIX,Hyderabad</t>
  </si>
  <si>
    <t>VN0064</t>
  </si>
  <si>
    <t>Micro Componetns</t>
  </si>
  <si>
    <t>VN0065</t>
  </si>
  <si>
    <t>MICRO WAVE</t>
  </si>
  <si>
    <t>VN0066</t>
  </si>
  <si>
    <t>Minilogic Device Corp.  Ltd.</t>
  </si>
  <si>
    <t>VN0067</t>
  </si>
  <si>
    <t>MM METALS &amp; METAL (ELECTRIC) Private Limited</t>
  </si>
  <si>
    <t>VN0068</t>
  </si>
  <si>
    <t>MULTIPAK ELECTRONICS INDIA PVT LTD</t>
  </si>
  <si>
    <t>VN0069</t>
  </si>
  <si>
    <t>Myageri Electronics Private Limited</t>
  </si>
  <si>
    <t>VN0070</t>
  </si>
  <si>
    <t>NATARAJ CIRCUITS</t>
  </si>
  <si>
    <t>VN0071</t>
  </si>
  <si>
    <t>NOBLE HARDWARE &amp; PAINTS</t>
  </si>
  <si>
    <t>VN0072</t>
  </si>
  <si>
    <t>NSK</t>
  </si>
  <si>
    <t>VN0073</t>
  </si>
  <si>
    <t>OM ELECTROINCS</t>
  </si>
  <si>
    <t>VN0074</t>
  </si>
  <si>
    <t>Opto - Elite Private Limited</t>
  </si>
  <si>
    <t>VN0075</t>
  </si>
  <si>
    <t>Precious Electronics Pvt Ltd</t>
  </si>
  <si>
    <t>VN0076</t>
  </si>
  <si>
    <t>PRINCE ELECTRICALS</t>
  </si>
  <si>
    <t>VN0077</t>
  </si>
  <si>
    <t>PRIYANKA ELECTRICALS</t>
  </si>
  <si>
    <t>VN0078</t>
  </si>
  <si>
    <t>RAJ ENGINEERING INDUSTRIES</t>
  </si>
  <si>
    <t>VN0079</t>
  </si>
  <si>
    <t>Rekha Packing &amp; Co.,</t>
  </si>
  <si>
    <t>VN0080</t>
  </si>
  <si>
    <t>S K ENTERPRISES</t>
  </si>
  <si>
    <t>VN0081</t>
  </si>
  <si>
    <t>SAHARA ENTERPRISES</t>
  </si>
  <si>
    <t>VN0082</t>
  </si>
  <si>
    <t>SAINI ELECTRONICS</t>
  </si>
  <si>
    <t>VN0083</t>
  </si>
  <si>
    <t>SAINI IMPLEX</t>
  </si>
  <si>
    <t>VN0084</t>
  </si>
  <si>
    <t>SATCHITANAND Stencils Private Limited</t>
  </si>
  <si>
    <t>VN0085</t>
  </si>
  <si>
    <t>Shanghai XCHIP Semiconductor Co.,Ltd</t>
  </si>
  <si>
    <t>VN0086</t>
  </si>
  <si>
    <t>Shenzgen Guangxinweiye Electronics Co.,ltd,China</t>
  </si>
  <si>
    <t>VN0087</t>
  </si>
  <si>
    <t>SHUBH ELECTRONICS</t>
  </si>
  <si>
    <t>VN0088</t>
  </si>
  <si>
    <t>Siddhi Vinayaka Computech</t>
  </si>
  <si>
    <t>VN0089</t>
  </si>
  <si>
    <t>Siricom Technology</t>
  </si>
  <si>
    <t>VN0090</t>
  </si>
  <si>
    <t>Solar Energie Technik Ltd.</t>
  </si>
  <si>
    <t>VN0091</t>
  </si>
  <si>
    <t>Spectra Innovation India Pvt Ltd</t>
  </si>
  <si>
    <t>VN0092</t>
  </si>
  <si>
    <t>Sri Ambe stores</t>
  </si>
  <si>
    <t>VN0093</t>
  </si>
  <si>
    <t>SYNDICATE HARDWARE MART</t>
  </si>
  <si>
    <t>VN0094</t>
  </si>
  <si>
    <t>SYRATRON TRADE &amp; SERVICES PRIVATE LTD</t>
  </si>
  <si>
    <t>VN0095</t>
  </si>
  <si>
    <t>TIJARAH TOOLS &amp; HARDWARE</t>
  </si>
  <si>
    <t>VN0096</t>
  </si>
  <si>
    <t>Transient Voltage Protection Systems Pvt Ltd</t>
  </si>
  <si>
    <t>VN0097</t>
  </si>
  <si>
    <t>Unified Electronics (India) Limited</t>
  </si>
  <si>
    <t>VN0098</t>
  </si>
  <si>
    <t>UNIVERSAL CIRCUITS</t>
  </si>
  <si>
    <t>VN0099</t>
  </si>
  <si>
    <t>Varidhi Electro Tech Pvt Ltd</t>
  </si>
  <si>
    <t>VN0100</t>
  </si>
  <si>
    <t>VIMALA HARDWARE &amp; PLYWOOD</t>
  </si>
  <si>
    <t>VN0101</t>
  </si>
  <si>
    <t>VISHAL International</t>
  </si>
  <si>
    <t>VN0102</t>
  </si>
  <si>
    <t>WINENTER</t>
  </si>
  <si>
    <t>VN0103</t>
  </si>
  <si>
    <t>WORTH ELEKTRONIK</t>
  </si>
  <si>
    <t>VN0104</t>
  </si>
  <si>
    <t>YUEQING MOLLER IMP&amp;EXP CO.,LTD</t>
  </si>
  <si>
    <t>SM0105</t>
  </si>
  <si>
    <t>SEMTRONICS</t>
  </si>
  <si>
    <t>VN0106</t>
  </si>
  <si>
    <t>JINDAL ALUMINIUM LIMITED</t>
  </si>
  <si>
    <t>VN0107</t>
  </si>
  <si>
    <t>OSRAM</t>
  </si>
  <si>
    <t>VN0108</t>
  </si>
  <si>
    <t> ProLight Opto Technology Corporation</t>
  </si>
  <si>
    <t>VN0109</t>
  </si>
  <si>
    <t>HARISH ENTERPRISES,MUMBAI</t>
  </si>
  <si>
    <t>VN0110</t>
  </si>
  <si>
    <t>PROLIGHT</t>
  </si>
  <si>
    <t>VN0111</t>
  </si>
  <si>
    <t>ANVASE EXIMPVT LTD</t>
  </si>
  <si>
    <t>VN0035IC15011</t>
  </si>
  <si>
    <t>VN0035IC15012</t>
  </si>
  <si>
    <t>VN0035IC15013</t>
  </si>
  <si>
    <t>IC15011</t>
  </si>
  <si>
    <t>IC15012</t>
  </si>
  <si>
    <t>IC15013</t>
  </si>
  <si>
    <t>SKW1126</t>
    <phoneticPr fontId="4" type="noConversion"/>
  </si>
  <si>
    <t>SSW2601A</t>
    <phoneticPr fontId="4" type="noConversion"/>
  </si>
  <si>
    <t>Printing Mark</t>
    <phoneticPr fontId="4" type="noConversion"/>
  </si>
  <si>
    <t>IC15014</t>
  </si>
  <si>
    <t>VN0035IC15014</t>
  </si>
  <si>
    <t>LED 5630 1CHIP 38LUM@100mA SEOUL</t>
  </si>
  <si>
    <t>LD00013</t>
  </si>
  <si>
    <t>LD00014</t>
  </si>
  <si>
    <t>VN0094LD00014</t>
  </si>
  <si>
    <t>VN0083MOV11003</t>
  </si>
  <si>
    <t>MOV11003</t>
  </si>
  <si>
    <t>14D471K(300/14)</t>
  </si>
  <si>
    <t>10D9</t>
  </si>
  <si>
    <t>THERMISTER</t>
  </si>
  <si>
    <t>THM11004</t>
  </si>
  <si>
    <t>VN0083THM11004</t>
  </si>
  <si>
    <t>IN08002</t>
  </si>
  <si>
    <t>IN08003</t>
  </si>
  <si>
    <t>VN0043IN08002</t>
  </si>
  <si>
    <t>VN0112</t>
  </si>
  <si>
    <t>NATION STAR</t>
  </si>
  <si>
    <t>VN0113</t>
  </si>
  <si>
    <t>SOUTHEREN CHIP</t>
  </si>
  <si>
    <t>VN0114</t>
  </si>
  <si>
    <t>FLIP CHIP</t>
  </si>
  <si>
    <t>VN0115</t>
  </si>
  <si>
    <t>SUNSKIYWE(UNITEK)</t>
  </si>
  <si>
    <t>VN0116</t>
  </si>
  <si>
    <t>jmy electronic co.limited</t>
  </si>
  <si>
    <t>1UF/0805/25v</t>
  </si>
  <si>
    <t>VN0089RS01089</t>
  </si>
  <si>
    <t>VN0089RS01090</t>
  </si>
  <si>
    <t>1.5E/1206/1%</t>
  </si>
  <si>
    <t>332K/0805/1%</t>
  </si>
  <si>
    <t>PCB09035</t>
  </si>
  <si>
    <t>PCB09036</t>
  </si>
  <si>
    <t>SM 3300 VER TL 5.8 D/S</t>
  </si>
  <si>
    <t>VN0098PCB09035</t>
  </si>
  <si>
    <t>VN0098PCB09036</t>
  </si>
  <si>
    <t>VN0082CP04022</t>
  </si>
  <si>
    <t>CP04022</t>
  </si>
  <si>
    <t>CP04023</t>
  </si>
  <si>
    <t>VN0089RS01091</t>
  </si>
  <si>
    <t>VN0089RS01092</t>
  </si>
  <si>
    <t>DE05013</t>
  </si>
  <si>
    <t>DE05014</t>
  </si>
  <si>
    <t>DE05015</t>
  </si>
  <si>
    <t>VN0082DE05013</t>
  </si>
  <si>
    <t>MUR460</t>
  </si>
  <si>
    <t>VN0083MOV11005</t>
  </si>
  <si>
    <t>MOV11005</t>
  </si>
  <si>
    <t>VN0089RS01093</t>
  </si>
  <si>
    <t>VN0089RS01095</t>
  </si>
  <si>
    <t>VN0009RS01094</t>
  </si>
  <si>
    <t>10K TRIM POT</t>
  </si>
  <si>
    <t>VN0082DE05014</t>
  </si>
  <si>
    <t>TRIM POT</t>
  </si>
  <si>
    <t>VN0009RS01096</t>
  </si>
  <si>
    <t xml:space="preserve">SM 18 WATT VER 5.4 </t>
  </si>
  <si>
    <t>220nF/400V</t>
  </si>
  <si>
    <t>CP04024</t>
  </si>
  <si>
    <t>CP04025</t>
  </si>
  <si>
    <t>CP04026</t>
  </si>
  <si>
    <t>CP04027</t>
  </si>
  <si>
    <t>CP04028</t>
  </si>
  <si>
    <t>VN0009CP04024</t>
  </si>
  <si>
    <t>VN0009CP04023</t>
  </si>
  <si>
    <t>SMD CAPACITERS</t>
  </si>
  <si>
    <t>VN0009CP04025</t>
  </si>
  <si>
    <t>BOX  CAPACITOR</t>
  </si>
  <si>
    <t>VN0009CP04026</t>
  </si>
  <si>
    <t>VN0009CP04027</t>
  </si>
  <si>
    <t>DE05016</t>
  </si>
  <si>
    <t>DE05017</t>
  </si>
  <si>
    <t>US1K</t>
  </si>
  <si>
    <t>VN0089DE05015</t>
  </si>
  <si>
    <t>VN0089DE05016</t>
  </si>
  <si>
    <t>MUR260/HER206</t>
  </si>
  <si>
    <t>VN0009DE05017</t>
  </si>
  <si>
    <t>RS01097</t>
  </si>
  <si>
    <t>RS01098</t>
  </si>
  <si>
    <t>RS01099</t>
  </si>
  <si>
    <t>RS01100</t>
  </si>
  <si>
    <t>RS01101</t>
  </si>
  <si>
    <t>VN0089RS01097</t>
  </si>
  <si>
    <t>VN0089RS01098</t>
  </si>
  <si>
    <t>VN0089RS01101</t>
  </si>
  <si>
    <t>20E/0805/1%</t>
  </si>
  <si>
    <t>VN0089RS01099</t>
  </si>
  <si>
    <t>VN0089RS01100</t>
  </si>
  <si>
    <t>RS01102</t>
  </si>
  <si>
    <t>RS01103</t>
  </si>
  <si>
    <t>RS01104</t>
  </si>
  <si>
    <t>RS01105</t>
  </si>
  <si>
    <t>VN0089RS01102</t>
  </si>
  <si>
    <t>VN0089RS01103</t>
  </si>
  <si>
    <t>VN0089RS01104</t>
  </si>
  <si>
    <t>VN0089RS01105</t>
  </si>
  <si>
    <t>PCB09037</t>
  </si>
  <si>
    <t>VN0098PCB09037</t>
  </si>
  <si>
    <t>SM0105IC15015</t>
  </si>
  <si>
    <t>IC15015</t>
  </si>
  <si>
    <t>SM6300B</t>
  </si>
  <si>
    <t>SM 4-7 WATT 6300B</t>
  </si>
  <si>
    <t>VN0098PCB09040</t>
  </si>
  <si>
    <t>VN0098PCB09041</t>
  </si>
  <si>
    <t>VN0098PCB09042</t>
  </si>
  <si>
    <t>PCB09038</t>
  </si>
  <si>
    <t>PCB09039</t>
  </si>
  <si>
    <t>PCB09040</t>
  </si>
  <si>
    <t>VN0007PCB09038</t>
  </si>
  <si>
    <t>600 MM LED PCB INTEGRATED</t>
  </si>
  <si>
    <t xml:space="preserve">1200 MM LED PCB </t>
  </si>
  <si>
    <t>VN0007PCB09039</t>
  </si>
  <si>
    <t>SEM-SURGE-VER 1.0 S/S (196 X 1 )</t>
  </si>
  <si>
    <t>PCB09041</t>
  </si>
  <si>
    <t>PCB09042</t>
  </si>
  <si>
    <t>SEM VER ST 1.0 -S/S METALCLAD PCB</t>
  </si>
  <si>
    <t>50 LED INTEGREATED PCB</t>
  </si>
  <si>
    <t>LD00015</t>
  </si>
  <si>
    <t>LD00016</t>
  </si>
  <si>
    <t>LD00017</t>
  </si>
  <si>
    <t>FM-3014WLS-460R-R70</t>
  </si>
  <si>
    <t>VN0094LD00015</t>
  </si>
  <si>
    <t>VN0094LD00016</t>
  </si>
  <si>
    <t>VN0094LD00017</t>
  </si>
  <si>
    <t>VN0080IN08004</t>
  </si>
  <si>
    <t>IN08004</t>
  </si>
  <si>
    <t>1 Mh</t>
  </si>
  <si>
    <t>VN0098PCB09043</t>
  </si>
  <si>
    <t>VN0098PCB09044</t>
  </si>
  <si>
    <t>PCB09043</t>
  </si>
  <si>
    <t>PCB09044</t>
  </si>
  <si>
    <t>VN0089RS01106</t>
  </si>
  <si>
    <t>VN0089RS01107</t>
  </si>
  <si>
    <t>RS01106</t>
  </si>
  <si>
    <t>RS01107</t>
  </si>
  <si>
    <t>7.5K-1/4 1% MFR</t>
  </si>
  <si>
    <t xml:space="preserve"> RESISTORE</t>
  </si>
  <si>
    <t>EQ10019</t>
  </si>
  <si>
    <t>CIRCUIT LACQUER 400ML (6130005500) AMBERSIL</t>
  </si>
  <si>
    <t>CIRCUIT LACQUER</t>
  </si>
  <si>
    <t>MF02006</t>
  </si>
  <si>
    <t>10N80-FSC</t>
  </si>
  <si>
    <t>VN0009MF02006</t>
  </si>
  <si>
    <t>EQ10020</t>
  </si>
  <si>
    <t>EQ10021</t>
  </si>
  <si>
    <t>EQ10022</t>
  </si>
  <si>
    <t>VN0113EQ10019</t>
  </si>
  <si>
    <t>VN0113EQ10020</t>
  </si>
  <si>
    <t>VN0113EQ10021</t>
  </si>
  <si>
    <t>VN0113EQ10022</t>
  </si>
  <si>
    <t>TUBE LIGHT -4 FT COTTON BOX (126 X 430 X 430 )</t>
  </si>
  <si>
    <t>TUBE LIGHT -2 FT COTTON BOX (126 X 430 X 430 )</t>
  </si>
  <si>
    <t xml:space="preserve">T8-TUBE LIGHT -DRIVER COTTON BOX </t>
  </si>
  <si>
    <t>VN0113EQ10023</t>
  </si>
  <si>
    <t>EQ10023</t>
  </si>
  <si>
    <t>15 WATT DOWN LIGHT COTTON BOX</t>
  </si>
  <si>
    <t>T8 TUBE LIGHT MC PCB 140 LEDS (WARM WHITE)</t>
  </si>
  <si>
    <t>VN0117</t>
  </si>
  <si>
    <t>MARUTHI PUNCH PACK</t>
  </si>
  <si>
    <t>ELECTROFACE CONNECTRONICS</t>
  </si>
  <si>
    <t>VN0063IN08003</t>
  </si>
  <si>
    <t>EQ10024</t>
  </si>
  <si>
    <t>VN0113EQ10024</t>
  </si>
  <si>
    <t>TUBE LIGHT BOX (L-40 X 1240X40 )</t>
  </si>
  <si>
    <t>1N5819</t>
  </si>
  <si>
    <t>DE05018</t>
  </si>
  <si>
    <t>IRFZ44N</t>
  </si>
  <si>
    <t>MF02007</t>
  </si>
  <si>
    <t>0.22E/1W</t>
  </si>
  <si>
    <t>RS01108</t>
  </si>
  <si>
    <t>RS01109</t>
  </si>
  <si>
    <t>RS01110</t>
  </si>
  <si>
    <t>100K R1206</t>
  </si>
  <si>
    <t>270K R1206</t>
  </si>
  <si>
    <t>1.2K R1206</t>
  </si>
  <si>
    <t>4.7K R1206</t>
  </si>
  <si>
    <t>RS01111</t>
  </si>
  <si>
    <t>RS01112</t>
  </si>
  <si>
    <t>VN0098PCB09045</t>
  </si>
  <si>
    <t>PCB09045</t>
  </si>
  <si>
    <t>T8 TUBE LIGHT MC PCB 117 LEDS</t>
  </si>
  <si>
    <t>SEM VER 1.0 MC PCB 117 LEDS Assembled</t>
  </si>
  <si>
    <t>PCB09046</t>
  </si>
  <si>
    <t>PCB09047</t>
  </si>
  <si>
    <t>SDL XX B-ver 1.4 pcb Charges</t>
  </si>
  <si>
    <t>E-27-CS-REV 4.10 pcb CHARGES</t>
  </si>
  <si>
    <t>VN0098PCB09046</t>
  </si>
  <si>
    <t>VN0098PCB09047</t>
  </si>
  <si>
    <t>EQ10025</t>
  </si>
  <si>
    <t>TUBE LIGHT HEAT SINKABLE SLEEVE 10 MM</t>
  </si>
  <si>
    <t>VN0045EQ10025</t>
  </si>
  <si>
    <t>IN08005</t>
  </si>
  <si>
    <t>2.2 Mh/300mA 10 X 12WL</t>
  </si>
  <si>
    <t>EQ10026</t>
  </si>
  <si>
    <t>BUBBLE COVER</t>
  </si>
  <si>
    <t>BUBBLE ROLLE</t>
  </si>
  <si>
    <t>IC15016</t>
  </si>
  <si>
    <t>SM2601A</t>
  </si>
  <si>
    <t>SUPRA ENERGY MC V2 25 LED PCB</t>
  </si>
  <si>
    <t>SUPRA MC V2 PCB 25 LED ASSEMBLED</t>
  </si>
  <si>
    <t>6 WATT CIRCULAR MC PCB WITH LED ASSEMBLED</t>
  </si>
  <si>
    <t>3 WATT CIRCULAR MC PCB WITH LED ASSEMBLED</t>
  </si>
  <si>
    <t>PCB09048</t>
  </si>
  <si>
    <t>PCB09049</t>
  </si>
  <si>
    <t>PCB09050</t>
  </si>
  <si>
    <t>PCB09051</t>
  </si>
  <si>
    <t>IN08006</t>
  </si>
  <si>
    <t xml:space="preserve">42v/240mA </t>
  </si>
  <si>
    <t>Transformer</t>
  </si>
  <si>
    <t>DE05019</t>
  </si>
  <si>
    <t>RS01113</t>
  </si>
  <si>
    <t>RS01114</t>
  </si>
  <si>
    <t>RS01115</t>
  </si>
  <si>
    <t>RS01116</t>
  </si>
  <si>
    <t>330K/1206</t>
  </si>
  <si>
    <t>RS01117</t>
  </si>
  <si>
    <t>8.2K/0805</t>
  </si>
  <si>
    <t>RS01118</t>
  </si>
  <si>
    <t>2.0E/0805</t>
  </si>
  <si>
    <t>RS01119</t>
  </si>
  <si>
    <t>RS01120</t>
  </si>
  <si>
    <t>47.5K/0805</t>
  </si>
  <si>
    <t>RS01121</t>
  </si>
  <si>
    <t>VN0089RS01108</t>
  </si>
  <si>
    <t>VN0089RS01109</t>
  </si>
  <si>
    <t>VN0089RS01110</t>
  </si>
  <si>
    <t>VN0089RS01111</t>
  </si>
  <si>
    <t>VN0089RS01112</t>
  </si>
  <si>
    <t>VN0089RS01113</t>
  </si>
  <si>
    <t>VN0089RS01114</t>
  </si>
  <si>
    <t>VN0089RS01115</t>
  </si>
  <si>
    <t>VN0089RS01116</t>
  </si>
  <si>
    <t>VN0089RS01117</t>
  </si>
  <si>
    <t>VN0089RS01118</t>
  </si>
  <si>
    <t>VN0089RS01119</t>
  </si>
  <si>
    <t>VN0089RS01120</t>
  </si>
  <si>
    <t>VN0089RS01121</t>
  </si>
  <si>
    <t>VN0089RS01122</t>
  </si>
  <si>
    <t>VN0089RS01123</t>
  </si>
  <si>
    <t>VN0089RS01124</t>
  </si>
  <si>
    <t>RS01122</t>
  </si>
  <si>
    <t>RS01123</t>
  </si>
  <si>
    <t>RS01124</t>
  </si>
  <si>
    <t>VN0089RS01125</t>
  </si>
  <si>
    <t>VN0089RS01126</t>
  </si>
  <si>
    <t>VN0089RS01127</t>
  </si>
  <si>
    <t>VN0089RS01128</t>
  </si>
  <si>
    <t>RS01125</t>
  </si>
  <si>
    <t>RS01126</t>
  </si>
  <si>
    <t>RS01127</t>
  </si>
  <si>
    <t>RS01128</t>
  </si>
  <si>
    <t>PCB09052</t>
  </si>
  <si>
    <t>VN0098PCB09048</t>
  </si>
  <si>
    <t>VN0098PCB09049</t>
  </si>
  <si>
    <t>VN0098PCB09050</t>
  </si>
  <si>
    <t>VN0098PCB09051</t>
  </si>
  <si>
    <t>VN0098PCB09052</t>
  </si>
  <si>
    <t>SEMTRONICS VER DL 2.1 SM 63 X B D/S (10 X 1)</t>
  </si>
  <si>
    <t>EQ10027</t>
  </si>
  <si>
    <t>GLU STICK</t>
  </si>
  <si>
    <t>POLY CAPACITOR</t>
  </si>
  <si>
    <t>CP04035</t>
  </si>
  <si>
    <t>0.022Mf /275V-X2</t>
  </si>
  <si>
    <t>CR18005</t>
  </si>
  <si>
    <t>CR18006</t>
  </si>
  <si>
    <t>EQ10028</t>
  </si>
  <si>
    <t>BALE PATTI</t>
  </si>
  <si>
    <t>IN08007</t>
  </si>
  <si>
    <t>IN08008</t>
  </si>
  <si>
    <t>1A, 250V Slow Blow</t>
  </si>
  <si>
    <t>CR18007</t>
  </si>
  <si>
    <t>FUSE</t>
  </si>
  <si>
    <t>HS-501</t>
  </si>
  <si>
    <t>HS03003</t>
  </si>
  <si>
    <t>VN0009HS03003</t>
  </si>
  <si>
    <t>VN0043IN08003</t>
  </si>
  <si>
    <t>VN0063IN08004</t>
  </si>
  <si>
    <t>VN0080IN08005</t>
  </si>
  <si>
    <t>VN0043IN08004</t>
  </si>
  <si>
    <t>EQ10029</t>
  </si>
  <si>
    <t>OK STICKER</t>
  </si>
  <si>
    <t>STICKER</t>
  </si>
  <si>
    <t>EQ10030</t>
  </si>
  <si>
    <t>PVC INSULATION TAPE</t>
  </si>
  <si>
    <t>INSULATION TAPE</t>
  </si>
  <si>
    <t>RS01129</t>
  </si>
  <si>
    <t>0.82/1206</t>
  </si>
  <si>
    <t>SMA6301</t>
  </si>
  <si>
    <t>IE817</t>
  </si>
  <si>
    <t>SM8900</t>
  </si>
  <si>
    <t>0.1MF-275V.40/100/21  X2 15MM PITCH</t>
  </si>
  <si>
    <t>0.01 MF/250V FFC CAPACITOR FFC</t>
  </si>
  <si>
    <t xml:space="preserve">CAP POLY BOX 0.22K 275V  X2 YELLOW </t>
  </si>
  <si>
    <t>CAPACITOR CERAMIC 103 PF 1KV</t>
  </si>
  <si>
    <t>CAP CERAMIC DISC 102 ,1KV</t>
  </si>
  <si>
    <t>ELE.CAP 100MF/160V / 20% -85@C</t>
  </si>
  <si>
    <t>ELE.CAP 100uf/250v/ 20% -105@C</t>
  </si>
  <si>
    <t>ELE.CAP 10mf/250v/ 20% -85@C</t>
  </si>
  <si>
    <t>ELE.CAP 22uf/50v / 20% --105@C</t>
  </si>
  <si>
    <t>ELE.CAP 100uf/25v / 20% -105@C</t>
  </si>
  <si>
    <t>ELE.CAP 22mf/400v / 20% --105@C</t>
  </si>
  <si>
    <t>ELE.CAP 22uF/250V/ 20% --85@C</t>
  </si>
  <si>
    <t>CAP PLOY 0.047uF/275VAC/ 20% X2</t>
  </si>
  <si>
    <t>CAP POLYESTER 104J 400V</t>
  </si>
  <si>
    <t>ELE.CAP 470MFD /50 / 20% 85@C</t>
  </si>
  <si>
    <t>ELE.CAP 22 MFD / 200V / 20% --105@C</t>
  </si>
  <si>
    <t>ELE.CAP</t>
  </si>
  <si>
    <t>ELE.CAP 10 MFD / 200V / 20% --105@C</t>
  </si>
  <si>
    <t>CERAMIC DISC 470 PF / 50V / 20%</t>
  </si>
  <si>
    <t>CAP POLY BOX 0.1MFD /275VAC / 20% X2 10MM PITCH</t>
  </si>
  <si>
    <t>CAP POLY</t>
  </si>
  <si>
    <t>CAP POLY 100K / 400V PPC</t>
  </si>
  <si>
    <t>CAP POLY 0.1MFD /400V / 20% PPC</t>
  </si>
  <si>
    <t>ELE.CAP 2.2MFD /450V / 20% --85@C</t>
  </si>
  <si>
    <t>ELE.CAP 10MFD/250V/ 20% -105@C</t>
  </si>
  <si>
    <t>ELE.CAP 10MFD/200V/ 20% -105@C</t>
  </si>
  <si>
    <t>CAP POLY 224J /400V /20%</t>
  </si>
  <si>
    <t>ELE.CAP 22MFD/250V/ 20% -105@C</t>
  </si>
  <si>
    <t>CAP.POLY 224 /630V / 20%</t>
  </si>
  <si>
    <t>EE-16 TRNS 24V/360MA</t>
  </si>
  <si>
    <t>EE-16 TRNS 24/350 MA</t>
  </si>
  <si>
    <t>EE-16 TRANS 5W-DL 2.0</t>
  </si>
  <si>
    <t>EE-16 MT 1584</t>
  </si>
  <si>
    <t>EE-16  INDUCTOR</t>
  </si>
  <si>
    <t xml:space="preserve">1mH  AL 0510 </t>
  </si>
  <si>
    <t>MOV 20D/511K</t>
  </si>
  <si>
    <t>MOV 07D/471K</t>
  </si>
  <si>
    <t>440/14</t>
  </si>
  <si>
    <t>MOV 510/14</t>
  </si>
  <si>
    <t>SMD ICSSW2802 SOT23-6</t>
  </si>
  <si>
    <t>SMD DIODE 39V/S0D-80</t>
  </si>
  <si>
    <t>YXG-3528EF1ZWF2</t>
  </si>
  <si>
    <t>FM-T3528WNS-460R LEDS</t>
  </si>
  <si>
    <t>FM-3528WNS-460R ( NT10TN1S23B)</t>
  </si>
  <si>
    <t>FM-T3528WLS-460R -R70</t>
  </si>
  <si>
    <t>4N60C</t>
  </si>
  <si>
    <t xml:space="preserve">PCB 5.8VERSION S/S TL DRIVER </t>
  </si>
  <si>
    <t>CAP POLY 22NF/300V / 20% X2  10MM PITCH</t>
  </si>
  <si>
    <t>ELE.CAP 1000 MFD /16V / 20% --105@C</t>
  </si>
  <si>
    <t>ELE.CAP 22MFD/400V / 20% --85@C</t>
  </si>
  <si>
    <t>ELE.CAP 4.7mMFD/400v / 20% --105@C</t>
  </si>
  <si>
    <t>ELE.CAP 22MFD/160V / 20% --85@C</t>
  </si>
  <si>
    <t>ELE.CAP 100mf/25v/ 20%</t>
  </si>
  <si>
    <t>ELE.CAP 22uf/50v/ 20%</t>
  </si>
  <si>
    <t>ELE.CAP 470UF/25V/ 20%</t>
  </si>
  <si>
    <t>ELE.CAP 22MFD/63V / 20% --85@C</t>
  </si>
  <si>
    <t>ELE.CAP 1MFD/63V / 20% --85@C</t>
  </si>
  <si>
    <t>INDUCTOR 0.65Mh</t>
  </si>
  <si>
    <t>ELE.CAP 100 MFD /35V / 20% --105@C</t>
  </si>
  <si>
    <t>ELE.CAP 470UF/50V/ 20%--85@C</t>
  </si>
  <si>
    <t>ELE.CAP 10MFD/450V/ 20% -105@C</t>
  </si>
  <si>
    <t>ELE.CAP 2.2MFD/450V/ 20% -105@C</t>
  </si>
  <si>
    <t>ELE.CAP 47MFD/200V/ 20% -105@C</t>
  </si>
  <si>
    <t>ELE.CAP 100MFD/100V/ 20% -105@C</t>
  </si>
  <si>
    <t>INDUCTOR 0.68Mh</t>
  </si>
  <si>
    <t>7K5/0603/ 5%</t>
  </si>
  <si>
    <t>RESISTOR</t>
  </si>
  <si>
    <t>0E/0805 / 5%</t>
  </si>
  <si>
    <t>82.5K/0805 / 1%</t>
  </si>
  <si>
    <t>130K/0805 / 1%</t>
  </si>
  <si>
    <t>10E /0805 / 1%</t>
  </si>
  <si>
    <t>51K / 0805 / 1%</t>
  </si>
  <si>
    <t>6.8K/0805 / 1%</t>
  </si>
  <si>
    <t>174K / 0805 / 1%</t>
  </si>
  <si>
    <t>0.68E/1206 / 1%</t>
  </si>
  <si>
    <t>1K / 0603 / 5%</t>
  </si>
  <si>
    <t>1R00 / 1206 / 1%</t>
  </si>
  <si>
    <t>680K /0805 / 1%</t>
  </si>
  <si>
    <t>100K / 0603 / 5%</t>
  </si>
  <si>
    <t>1R1/1206/ 1%</t>
  </si>
  <si>
    <t>1R3 / 1206 / 1%</t>
  </si>
  <si>
    <t>15K / 0805 / 1%</t>
  </si>
  <si>
    <t>4.32K / 0603 / 1%</t>
  </si>
  <si>
    <t>499K / 1206 / 1%</t>
  </si>
  <si>
    <t>249K / 1206 / 1%</t>
  </si>
  <si>
    <t>470K / 0603 / 5%</t>
  </si>
  <si>
    <t>40K2 / 0603 / 1%</t>
  </si>
  <si>
    <t>3K09 /0603 / 1%</t>
  </si>
  <si>
    <t>2K / 0603 / 1%</t>
  </si>
  <si>
    <t>68E/0805 / 1%</t>
  </si>
  <si>
    <t>22E / 0805 / 1%</t>
  </si>
  <si>
    <t>110K/1206 / 1%</t>
  </si>
  <si>
    <t>169K / 0603 / 1%</t>
  </si>
  <si>
    <t>200K / 2512 / 5%</t>
  </si>
  <si>
    <t>2R7/0805 / 1%</t>
  </si>
  <si>
    <t>1K/0603 / 1%</t>
  </si>
  <si>
    <t>OE  / 0603 / 5%</t>
  </si>
  <si>
    <t>330E/ 0603/ 1%</t>
  </si>
  <si>
    <t>16.9K / 0603 / 1%</t>
  </si>
  <si>
    <t xml:space="preserve"> SMD CAPACITOR</t>
  </si>
  <si>
    <t xml:space="preserve"> RESISTORS</t>
  </si>
  <si>
    <t xml:space="preserve">CAPACITOR </t>
  </si>
  <si>
    <t>100PF /0603 / 5%</t>
  </si>
  <si>
    <t>100nF/0805 / 5%</t>
  </si>
  <si>
    <t>SMD CAPACITOR</t>
  </si>
  <si>
    <t xml:space="preserve"> SMD RESISTOR</t>
  </si>
  <si>
    <t>1M/0805 / 1%</t>
  </si>
  <si>
    <t>10NF/ 0603 /50V / 10%</t>
  </si>
  <si>
    <t>0.1UF /0603/ 50V / 10%</t>
  </si>
  <si>
    <t>SM4007 MELF</t>
  </si>
  <si>
    <t>SMD DIODE</t>
  </si>
  <si>
    <t>SMD DIODE UF4003</t>
  </si>
  <si>
    <t>IC BASE 28 PIN 2.54MM</t>
  </si>
  <si>
    <t>IC BASE</t>
  </si>
  <si>
    <t>MC PCB 3.5WATT VER 2.0 (WW)</t>
  </si>
  <si>
    <t>MC PCB 7 WATT VER 18-0</t>
  </si>
  <si>
    <t>MB10S ( MD7S)</t>
  </si>
  <si>
    <t>1E /1W / 5%</t>
  </si>
  <si>
    <t>FIXED RESISTOR</t>
  </si>
  <si>
    <t>680K/1206 / 1%</t>
  </si>
  <si>
    <t>27E/0805 / 1%</t>
  </si>
  <si>
    <t>49.9K/0805 /1%</t>
  </si>
  <si>
    <t>7.5K/0805 / 1%</t>
  </si>
  <si>
    <t>150K/0805 / 1%</t>
  </si>
  <si>
    <t>1.5E/0805 / 1%</t>
  </si>
  <si>
    <t>SM 18 WATT VER 5.1 DRIVER PCB</t>
  </si>
  <si>
    <t xml:space="preserve">SM ISO  REV 2.1 PCB </t>
  </si>
  <si>
    <t>SEM VER TL 5.8 DRIVER BOARD</t>
  </si>
  <si>
    <t>SMD DIODE 1N4007 (m7)</t>
  </si>
  <si>
    <t>CONNECTOR</t>
  </si>
  <si>
    <t>RESISTORS</t>
  </si>
  <si>
    <t>PCB 2835LED25C4B1170X9.8B/O</t>
  </si>
  <si>
    <t>PCB 2835LED12C4B538X9.5A/O</t>
  </si>
  <si>
    <t>PCB 9630145569.9</t>
  </si>
  <si>
    <t>PCB 555X7MM 3014LED 12C15B</t>
  </si>
  <si>
    <t>PCB 255X7MM 3014 LED 12C6B</t>
  </si>
  <si>
    <t>PCB STRIP LIGHT</t>
  </si>
  <si>
    <t>SEM 1.0</t>
  </si>
  <si>
    <t>BALANCE</t>
  </si>
  <si>
    <t>ISSUE</t>
  </si>
  <si>
    <t>RECEIPT</t>
  </si>
  <si>
    <t xml:space="preserve">100PF/0805/ 50V /5% </t>
  </si>
  <si>
    <t>PHYSICAL QTY</t>
  </si>
  <si>
    <t xml:space="preserve">RECEIPT </t>
  </si>
  <si>
    <t xml:space="preserve">1NF /500V /0805 </t>
  </si>
  <si>
    <t>ENCLOSURES</t>
  </si>
  <si>
    <t>SMD CAP 47PF /0805/50V /20%</t>
  </si>
  <si>
    <t>SMD DIODE 1N4148 SOD-123</t>
  </si>
  <si>
    <t>ES2G /MURS360</t>
  </si>
  <si>
    <t>10K/0805 / 1%</t>
  </si>
  <si>
    <t>LD00018</t>
  </si>
  <si>
    <t>LD00019</t>
  </si>
  <si>
    <t>LD00020</t>
  </si>
  <si>
    <t>LD00021</t>
  </si>
  <si>
    <t>430E/0805/1%</t>
  </si>
  <si>
    <t>0E/0805/1%</t>
  </si>
  <si>
    <t>174K/0603/ 1%</t>
  </si>
  <si>
    <t>CERMET PRESET 10K</t>
  </si>
  <si>
    <t>PRESET</t>
  </si>
  <si>
    <t>PCB SM 63XX8 VER 2.1DL</t>
  </si>
  <si>
    <t>HEAT SHRINKABE SLEEVE 16MM</t>
  </si>
  <si>
    <t>SLEEVE</t>
  </si>
  <si>
    <t>INTEGRATED  END CAP TUBE LIGHT</t>
  </si>
  <si>
    <t>BULB CAP</t>
  </si>
  <si>
    <t>END CAP</t>
  </si>
  <si>
    <t>TUBE LIGHT CLAMPS</t>
  </si>
  <si>
    <t>CLAMPS</t>
  </si>
  <si>
    <t>IN08009</t>
  </si>
  <si>
    <t>IN08010</t>
  </si>
  <si>
    <t>IN08011</t>
  </si>
  <si>
    <t>IN08012</t>
  </si>
  <si>
    <t>IN08013</t>
  </si>
  <si>
    <t>IN08014</t>
  </si>
  <si>
    <t>INDUCTOR 3mH -EE16</t>
  </si>
  <si>
    <t>INDUCTOR 2.4mH --EE16</t>
  </si>
  <si>
    <t>LED FM-P3528WNS-460W -R80-150mA (MILKY WHITE)</t>
  </si>
  <si>
    <t>SEM -VER LED  1MM S/S WHITE MASK ROUND PCB</t>
  </si>
  <si>
    <t>PCB SEM VER 4.1 LED PCB  117 LED</t>
  </si>
  <si>
    <t>TUBE LIGHT DIFFUSER -PC SERAATION TYPE</t>
  </si>
  <si>
    <t>DIFFUSER</t>
  </si>
  <si>
    <t>EQ10031</t>
  </si>
  <si>
    <t>EQ10032</t>
  </si>
  <si>
    <t>EQ10033</t>
  </si>
  <si>
    <t>EQ10034</t>
  </si>
  <si>
    <t>EQ10035</t>
  </si>
  <si>
    <t>TUBE LIGHT DIFFUSER -PC CLEAR TYPE</t>
  </si>
  <si>
    <t>EQ10036</t>
  </si>
  <si>
    <t>IN08015</t>
  </si>
  <si>
    <t>HEAT SHRINKABE SLEEVE 18MM</t>
  </si>
  <si>
    <t>SHRINKABBLE SLEEVE</t>
  </si>
  <si>
    <t>WIRE WOUND RESISTOR 100E/25W</t>
  </si>
  <si>
    <t>WIRE WOUND</t>
  </si>
  <si>
    <t>EQ10037</t>
  </si>
  <si>
    <t xml:space="preserve">PCB SEM  VER TL 1.0 LED PCB 140 LED </t>
  </si>
  <si>
    <t>SEM VER TL 6.3  (52 LED) S/S PCB WITH LED 60MA</t>
  </si>
  <si>
    <t>SEM VER TL 6.3  (52 LED) S/S PCB WITH LED 150MA</t>
  </si>
  <si>
    <t xml:space="preserve"> MC PCB</t>
  </si>
  <si>
    <t>PCB AMOU 0477  CIRCULAR</t>
  </si>
  <si>
    <t>ES07010</t>
  </si>
  <si>
    <t>ES07017</t>
  </si>
  <si>
    <t>ES07011</t>
  </si>
  <si>
    <t>CP04029</t>
  </si>
  <si>
    <t>SMD DIODE USIM</t>
  </si>
  <si>
    <t>110K/0805/ 1%</t>
  </si>
  <si>
    <t xml:space="preserve"> RESISTOR</t>
  </si>
  <si>
    <t>49.9K/0805/1%</t>
  </si>
  <si>
    <t>SMD RESISTOR</t>
  </si>
  <si>
    <t>1E5/0805/ 1%</t>
  </si>
  <si>
    <t>CAP CERAMIC 2.2nF/275VAC/ 20% X1 Y1</t>
  </si>
  <si>
    <t>WIRE WOUND RESISTOR 350E/50W</t>
  </si>
  <si>
    <t>SDLXXB-VER BL1.5</t>
  </si>
  <si>
    <t>TRANSFORMER EE16-24V/350MA -MT15942</t>
  </si>
  <si>
    <t>WR12003</t>
  </si>
  <si>
    <t>IN08016</t>
  </si>
  <si>
    <t>ES07015</t>
  </si>
  <si>
    <t xml:space="preserve">FIBRE GLASS SLEEVE 3 mm Sleeve </t>
  </si>
  <si>
    <t>680K/0603 / 1%</t>
  </si>
  <si>
    <t>169K/0603 / 1%</t>
  </si>
  <si>
    <t xml:space="preserve">P2G102K  POLY 1KPF /400V </t>
  </si>
  <si>
    <t xml:space="preserve"> PCB</t>
  </si>
  <si>
    <t>PCB AN3088 BUCK BOOST DOUBLE SIDED</t>
  </si>
  <si>
    <t>3E/0805 / 5%</t>
  </si>
  <si>
    <t>PCB VERT 3528 -SINGLE SIDED WHITE MASK</t>
  </si>
  <si>
    <t>1UF/0805/10% 25 V OR 50V</t>
  </si>
  <si>
    <t>1.8E/0805 / 1%</t>
  </si>
  <si>
    <t>47E/0805 / 1%</t>
  </si>
  <si>
    <t>62K/0805 / 1%</t>
  </si>
  <si>
    <t>CP04034</t>
  </si>
  <si>
    <t>RS01166</t>
  </si>
  <si>
    <t xml:space="preserve">1nF/500V / 1206 </t>
  </si>
  <si>
    <t>2M/1206 / 1%</t>
  </si>
  <si>
    <t>RS01167</t>
  </si>
  <si>
    <t>ELE.CAP 220MFD/100V/ 20% -105@C</t>
  </si>
  <si>
    <t>470uF/63V / 20%  --105@C</t>
  </si>
  <si>
    <t>CP04055</t>
  </si>
  <si>
    <t>ES07037</t>
  </si>
  <si>
    <t>EE-20 TRNS 42/360 10PIN ( MT11448 )</t>
  </si>
  <si>
    <t>SS SCRES M3X6 CHEESE HEAD</t>
  </si>
  <si>
    <t>3 PIN PBT CONNECTOR</t>
  </si>
  <si>
    <t>2 PIN PBT CONNECTOR</t>
  </si>
  <si>
    <t>EQ10045</t>
  </si>
  <si>
    <t>HEAT SINK U TYPE</t>
  </si>
  <si>
    <t>FUSE 1AMPS FAST BLOWAXIAL TYPE  5X20</t>
  </si>
  <si>
    <t>CP04030</t>
  </si>
  <si>
    <t>CP04031</t>
  </si>
  <si>
    <t>CP04032</t>
  </si>
  <si>
    <t>CP04033</t>
  </si>
  <si>
    <t>CP04036</t>
  </si>
  <si>
    <t>CP04037</t>
  </si>
  <si>
    <t>CP04038</t>
  </si>
  <si>
    <t>CP04039</t>
  </si>
  <si>
    <t>CP04040</t>
  </si>
  <si>
    <t>CP04041</t>
  </si>
  <si>
    <t>CP04042</t>
  </si>
  <si>
    <t>CP04043</t>
  </si>
  <si>
    <t>CP04044</t>
  </si>
  <si>
    <t>CP04045</t>
  </si>
  <si>
    <t>CP04046</t>
  </si>
  <si>
    <t>CP04047</t>
  </si>
  <si>
    <t>CP04048</t>
  </si>
  <si>
    <t>CP04049</t>
  </si>
  <si>
    <t>SAW INVOICE</t>
  </si>
  <si>
    <t>As per physical count</t>
  </si>
  <si>
    <t>ENCLOSURE STORE STOCK</t>
  </si>
  <si>
    <t>VN0004ES07001</t>
  </si>
  <si>
    <t>ES07001</t>
  </si>
  <si>
    <t>Down Light 3 Watt Enclosure</t>
  </si>
  <si>
    <t>ENCLOSURE</t>
  </si>
  <si>
    <t>VN0004ES07002</t>
  </si>
  <si>
    <t>ES07002</t>
  </si>
  <si>
    <t>Down Light 5 Watt Enclosure</t>
  </si>
  <si>
    <t>VN0004ES07003</t>
  </si>
  <si>
    <t>ES07003</t>
  </si>
  <si>
    <t>Down Light 9 Watt Enclosure</t>
  </si>
  <si>
    <t>VN0004ES07004</t>
  </si>
  <si>
    <t>ES07004</t>
  </si>
  <si>
    <t>Down Light 15 Watt Enclosure</t>
  </si>
  <si>
    <t>VN0007ES07005</t>
  </si>
  <si>
    <t>ES07005</t>
  </si>
  <si>
    <t>T8-TUBE LIGHT FIXTURE</t>
  </si>
  <si>
    <t>VN0004ES07006</t>
  </si>
  <si>
    <t>ES07006</t>
  </si>
  <si>
    <t xml:space="preserve">1 X 1 DLS </t>
  </si>
  <si>
    <t>VN0004ES07007</t>
  </si>
  <si>
    <t>ES07007</t>
  </si>
  <si>
    <t>MAK DLP 1080 5W DOWN LIGHT ECO PLUS FITTINGS</t>
  </si>
  <si>
    <t>VN0004ES07008</t>
  </si>
  <si>
    <t>ES07008</t>
  </si>
  <si>
    <t>1/2 FEET DLS</t>
  </si>
  <si>
    <t>VN0004ES07009</t>
  </si>
  <si>
    <t>ES07009</t>
  </si>
  <si>
    <t>T8 TUBE LIGHT LOADS</t>
  </si>
  <si>
    <t>VN0004ES07010</t>
  </si>
  <si>
    <t>BULP WHITE ENCLOSURE 3WATT</t>
  </si>
  <si>
    <t>VN0004ES07011</t>
  </si>
  <si>
    <t>BULP WHITE ENCLOSURE 7WATT</t>
  </si>
  <si>
    <t>VN0004ES07012</t>
  </si>
  <si>
    <t>ES07012</t>
  </si>
  <si>
    <t>BULP SILVER ENCLOSURE 10WATT</t>
  </si>
  <si>
    <t>VN0004ES07013</t>
  </si>
  <si>
    <t>ES07013</t>
  </si>
  <si>
    <t>DOWN LIGHT  10WATT</t>
  </si>
  <si>
    <t>VN0004ES07014</t>
  </si>
  <si>
    <t>ES07014</t>
  </si>
  <si>
    <t>DOWN LIGHT  5 WATT</t>
  </si>
  <si>
    <t>VN0078ES07015</t>
  </si>
  <si>
    <t>LD-01</t>
  </si>
  <si>
    <t>VN0078ES07016</t>
  </si>
  <si>
    <t>ES07016</t>
  </si>
  <si>
    <t>LD-08</t>
  </si>
  <si>
    <t>VN0004ES07017</t>
  </si>
  <si>
    <t>BULP WHITE ENCLOSURE 5WATT</t>
  </si>
  <si>
    <t>VN0078ES07018</t>
  </si>
  <si>
    <t>ES07018</t>
  </si>
  <si>
    <t>TUBE LIGHT DRIVER ENCLOSURE</t>
  </si>
  <si>
    <t>VN0106ES07019</t>
  </si>
  <si>
    <t>ES07019</t>
  </si>
  <si>
    <t>T8-TUBE LIGHT FIXTURE 4FT</t>
  </si>
  <si>
    <t>VN0007ES07020</t>
  </si>
  <si>
    <t>ES07020</t>
  </si>
  <si>
    <t>T8 INTEGREATED TUBE LIGHT 600MM</t>
  </si>
  <si>
    <t>VN0007ES07021</t>
  </si>
  <si>
    <t>ES07021</t>
  </si>
  <si>
    <t>SPOT LIGHT HOUSING 3 X 1 WATT</t>
  </si>
  <si>
    <t>VN0007ES07022</t>
  </si>
  <si>
    <t>ES07022</t>
  </si>
  <si>
    <t>STREET LIGHT 45 WATT ENCLOSURE</t>
  </si>
  <si>
    <t>VN0106ES07023</t>
  </si>
  <si>
    <t>ES07023</t>
  </si>
  <si>
    <t>T8-TUBE LIGHT RECTROFIT 4FT(SINGLE PCB)</t>
  </si>
  <si>
    <t>VN0007ES07024</t>
  </si>
  <si>
    <t>ES07024</t>
  </si>
  <si>
    <t>SPOT LIGHT HOUSING 6 X 1 WATT</t>
  </si>
  <si>
    <t>VN0007ES07025</t>
  </si>
  <si>
    <t>ES07025</t>
  </si>
  <si>
    <t>T8-TUBE LIGHT INTEGREATED 4FT</t>
  </si>
  <si>
    <t>VN0007ES07026</t>
  </si>
  <si>
    <t>ES07026</t>
  </si>
  <si>
    <t>LED CEILING LIGHT HOUSING+SMD3528 9W,PCBA</t>
  </si>
  <si>
    <t>ES07027</t>
  </si>
  <si>
    <t>channel T8 4 Feet Regular</t>
  </si>
  <si>
    <t>ES07028</t>
  </si>
  <si>
    <t>RGB LED UNDER WATER LIGHT</t>
  </si>
  <si>
    <t>ES07029</t>
  </si>
  <si>
    <t>LED CEILING LIGHT HOUSING+SMD5730 (MW)</t>
  </si>
  <si>
    <t>ES07030</t>
  </si>
  <si>
    <t xml:space="preserve">T8 TUBE LIGHT PATTI 12 X 40 </t>
  </si>
  <si>
    <t>ES07031</t>
  </si>
  <si>
    <t>HB-04</t>
  </si>
  <si>
    <t>ES07032</t>
  </si>
  <si>
    <t>T5 LED FITTING 2FT (INTEGREATED )</t>
  </si>
  <si>
    <t>ES07033</t>
  </si>
  <si>
    <t>Down Light 3 Watt Enclosure (Alluminium)</t>
  </si>
  <si>
    <t>ES07034</t>
  </si>
  <si>
    <t>Down Light 6 Watt Enclosure (Alluminium)</t>
  </si>
  <si>
    <t>ES07035</t>
  </si>
  <si>
    <t>LED DRIVER-04</t>
  </si>
  <si>
    <t>ES07036</t>
  </si>
  <si>
    <t xml:space="preserve">T8 TUBE LIGHT PATTI 2 FEET  </t>
  </si>
  <si>
    <t xml:space="preserve">T8-TUBE LIGHT RECTROFIT 4FT  </t>
  </si>
  <si>
    <t>ES07038</t>
  </si>
  <si>
    <t>15 WATT SQUARE DOWN LIGHT ENCLOSURE</t>
  </si>
  <si>
    <t>ES07039</t>
  </si>
  <si>
    <t>LD-12</t>
  </si>
  <si>
    <t>DRIVER</t>
  </si>
  <si>
    <t>FG</t>
  </si>
  <si>
    <t>DRIVER STORE STOCK</t>
  </si>
  <si>
    <t>SM0105DR13001</t>
  </si>
  <si>
    <t>DR13001</t>
  </si>
  <si>
    <t>E27-SEM V1</t>
  </si>
  <si>
    <t>SM0105DR13002</t>
  </si>
  <si>
    <t>DR13002</t>
  </si>
  <si>
    <t xml:space="preserve">3 WATT DC DC </t>
  </si>
  <si>
    <t>SM0105DR13003</t>
  </si>
  <si>
    <t>DR13003</t>
  </si>
  <si>
    <t>ISOLATED DOWN LIGHT DRIVER</t>
  </si>
  <si>
    <t>SM0105DR13004</t>
  </si>
  <si>
    <t>DR13004</t>
  </si>
  <si>
    <t>T8 -18 Watt ISOLATED TUBE LIGHT DRIVER</t>
  </si>
  <si>
    <t>SM0105DR13005</t>
  </si>
  <si>
    <t>DR13005</t>
  </si>
  <si>
    <t>T8 -24 Watt ISOLATED TUBE LIGHT DRIVER</t>
  </si>
  <si>
    <t>SM0105DR13006</t>
  </si>
  <si>
    <t>DR13006</t>
  </si>
  <si>
    <t>20 WATT AC DC LED DRIVER</t>
  </si>
  <si>
    <t>SM0105DR13007</t>
  </si>
  <si>
    <t>DR13007</t>
  </si>
  <si>
    <t>8-12 WATT 350mA DRIVER</t>
  </si>
  <si>
    <t>SM0105DR13008</t>
  </si>
  <si>
    <t>DR13008</t>
  </si>
  <si>
    <t>10-15 WATT 700mA DRIVER</t>
  </si>
  <si>
    <t>SM0105DR13009</t>
  </si>
  <si>
    <t>DR13009</t>
  </si>
  <si>
    <t>15-20 WATT 350mA DRIVER B</t>
  </si>
  <si>
    <t>SM0105DR13010</t>
  </si>
  <si>
    <t>DR13010</t>
  </si>
  <si>
    <t xml:space="preserve">12-18WATT 350mA DRIVER </t>
  </si>
  <si>
    <t>SM0105DR13011</t>
  </si>
  <si>
    <t>DR13011</t>
  </si>
  <si>
    <t>1-3 WATT 350mA DRIVER</t>
  </si>
  <si>
    <t>SM0105DR13012</t>
  </si>
  <si>
    <t>DR13012</t>
  </si>
  <si>
    <t>7-12WATT 350mA DRIVER A</t>
  </si>
  <si>
    <t>SM0105DR13013</t>
  </si>
  <si>
    <t>DR13013</t>
  </si>
  <si>
    <t>4-7 WATT 350mA DRIVER A</t>
  </si>
  <si>
    <t>SM0105DR13014</t>
  </si>
  <si>
    <t>DR13014</t>
  </si>
  <si>
    <t>30-35 WATT 600mA DRIVER</t>
  </si>
  <si>
    <t>SM0105DR13015</t>
  </si>
  <si>
    <t>DR13015</t>
  </si>
  <si>
    <t xml:space="preserve">12-18WATT 700mA DRIVER </t>
  </si>
  <si>
    <t>SM0105DR13016</t>
  </si>
  <si>
    <t>DR13016</t>
  </si>
  <si>
    <t>2-8 watt 350mA DRIVER</t>
  </si>
  <si>
    <t>SM0105DR13017</t>
  </si>
  <si>
    <t>DR13017</t>
  </si>
  <si>
    <t>20-25WATT 350mA DRIVER</t>
  </si>
  <si>
    <t>SM0105DR13018</t>
  </si>
  <si>
    <t>DR13018</t>
  </si>
  <si>
    <t>E27 4.5 VER</t>
  </si>
  <si>
    <t>SM0105DR13019</t>
  </si>
  <si>
    <t>DR13019</t>
  </si>
  <si>
    <t>T8 TUBE LIGHT DRIVER 4.5 VER</t>
  </si>
  <si>
    <t>SM0105DR13020</t>
  </si>
  <si>
    <t>DR13020</t>
  </si>
  <si>
    <t>T8 TUBE LIGHT DRIVER 4.2 VER</t>
  </si>
  <si>
    <t>SM0105DR13021</t>
  </si>
  <si>
    <t>DR13021</t>
  </si>
  <si>
    <t>T8 TUBE LIGHT DRIVER 5.4 VER</t>
  </si>
  <si>
    <t>SM0105DR13022</t>
  </si>
  <si>
    <t>DR13022</t>
  </si>
  <si>
    <t xml:space="preserve">6 WATT DC DC </t>
  </si>
  <si>
    <t>SM0105DR13023</t>
  </si>
  <si>
    <t>DR13023</t>
  </si>
  <si>
    <t>E27-SEM 6W</t>
  </si>
  <si>
    <t>SM0105DR13024</t>
  </si>
  <si>
    <t>DR13024</t>
  </si>
  <si>
    <t>E27-SEM 8W</t>
  </si>
  <si>
    <t>SM0105DR13025</t>
  </si>
  <si>
    <t>DR13025</t>
  </si>
  <si>
    <t>E27-SEM 2W</t>
  </si>
  <si>
    <t>SM0105DR13026</t>
  </si>
  <si>
    <t>DR13026</t>
  </si>
  <si>
    <t>E27-CS-EM1 MISSING COMPONENTS</t>
  </si>
  <si>
    <t>SM0105DR13027</t>
  </si>
  <si>
    <t>DR13027</t>
  </si>
  <si>
    <t>SM0105DR13028</t>
  </si>
  <si>
    <t>DR13028</t>
  </si>
  <si>
    <t>4-7 WATT 350mA DRIVER B</t>
  </si>
  <si>
    <t>SM0105DR13029</t>
  </si>
  <si>
    <t>DR13029</t>
  </si>
  <si>
    <t>20-25WATT 700mA DRIVER</t>
  </si>
  <si>
    <t>SM0105DR13030</t>
  </si>
  <si>
    <t>DR13030</t>
  </si>
  <si>
    <t>1-3 WATT 1mA DRIVER</t>
  </si>
  <si>
    <t>SM0105DR13031</t>
  </si>
  <si>
    <t>DR13031</t>
  </si>
  <si>
    <t>2-6 watt 350mA DRIVER</t>
  </si>
  <si>
    <t>SM0105DR13032</t>
  </si>
  <si>
    <t>DR13032</t>
  </si>
  <si>
    <t>1-3 WATT 700mA DRIVER</t>
  </si>
  <si>
    <t>SM0105DR13033</t>
  </si>
  <si>
    <t>DR13033</t>
  </si>
  <si>
    <t>7-12WATT 300mA DRIVER B</t>
  </si>
  <si>
    <t>SM0105DR13034</t>
  </si>
  <si>
    <t>DR13034</t>
  </si>
  <si>
    <t>8-10 WATT 150mA DRIVER</t>
  </si>
  <si>
    <t>SM0105DR13035</t>
  </si>
  <si>
    <t>DR13035</t>
  </si>
  <si>
    <t>40-45 WATT 1.05mA DRIVER</t>
  </si>
  <si>
    <t>SM0105DR13036</t>
  </si>
  <si>
    <t>DR13036</t>
  </si>
  <si>
    <t>72 WATT CIRCULER DRIVER</t>
  </si>
  <si>
    <t>SM0105DR13037</t>
  </si>
  <si>
    <t>DR13037</t>
  </si>
  <si>
    <t>SM0105DR13038</t>
  </si>
  <si>
    <t>DR13038</t>
  </si>
  <si>
    <t>4-7 WATT 320mA DRIVER (SM6300B)</t>
  </si>
  <si>
    <t>SM0105DR13039</t>
  </si>
  <si>
    <t>DR13039</t>
  </si>
  <si>
    <t>10-15 WATT 300mA DRIVER (SM6300B)</t>
  </si>
  <si>
    <t>SM0105DR13040</t>
  </si>
  <si>
    <t>DR13040</t>
  </si>
  <si>
    <t>1-3 WATT 350mA DRIVER B</t>
  </si>
  <si>
    <t>SM0105DR13041</t>
  </si>
  <si>
    <t>DR13041</t>
  </si>
  <si>
    <t xml:space="preserve"> 45WATT 700MA PFC+5V600MA B</t>
  </si>
  <si>
    <t>SM0105DR13042</t>
  </si>
  <si>
    <t>DR13042</t>
  </si>
  <si>
    <t xml:space="preserve"> 3W 300MA DC-DC</t>
  </si>
  <si>
    <t>SM0105DR13043</t>
  </si>
  <si>
    <t>DR13043</t>
  </si>
  <si>
    <t xml:space="preserve"> 5W 300MA DC-DC</t>
  </si>
  <si>
    <t>SM0105DR13044</t>
  </si>
  <si>
    <t>DR13044</t>
  </si>
  <si>
    <t>7-12WATT 350mA DRIVER  B</t>
  </si>
  <si>
    <t>SM0105DR13045</t>
  </si>
  <si>
    <t>DR13045</t>
  </si>
  <si>
    <t xml:space="preserve"> 10W230MA 40V DC-DC</t>
  </si>
  <si>
    <t>SM0105DR13046</t>
  </si>
  <si>
    <t>DR13046</t>
  </si>
  <si>
    <t>4-7W 300MA PFC SM6300B</t>
  </si>
  <si>
    <t>SM0105DR13047</t>
  </si>
  <si>
    <t>DR13047</t>
  </si>
  <si>
    <t>7-12W 300MA PFC SM6300B</t>
  </si>
  <si>
    <t>SM0105DR13048</t>
  </si>
  <si>
    <t>DR13048</t>
  </si>
  <si>
    <t>12-18W 300MA PFC SM6300B</t>
  </si>
  <si>
    <t>SM0105DR13049</t>
  </si>
  <si>
    <t>DR13049</t>
  </si>
  <si>
    <t>4-5W 38V-42V 120MA SM6300B</t>
  </si>
  <si>
    <t>SM0105DR13050</t>
  </si>
  <si>
    <t>DR13050</t>
  </si>
  <si>
    <t>9-10W 38V-42V 240MA SM6300B</t>
  </si>
  <si>
    <t>SM0105DR13051</t>
  </si>
  <si>
    <t>DR13051</t>
  </si>
  <si>
    <t>13-15W 38V-42V 360MA SM6300B</t>
  </si>
  <si>
    <t>SM0105DR13052</t>
  </si>
  <si>
    <t>DR13052</t>
  </si>
  <si>
    <t>32W 1.28A</t>
  </si>
  <si>
    <t>SM0105DR13053</t>
  </si>
  <si>
    <t>DR13053</t>
  </si>
  <si>
    <t>6W 700MA Class A</t>
  </si>
  <si>
    <t>SM0105DR13054</t>
  </si>
  <si>
    <t>DR13054</t>
  </si>
  <si>
    <t>5-12 WATT SM6300B</t>
  </si>
  <si>
    <t>SM0105DR13055</t>
  </si>
  <si>
    <t>DR13055</t>
  </si>
  <si>
    <t>2-6 WATT150mA B</t>
  </si>
  <si>
    <t>SM0105DR13056</t>
  </si>
  <si>
    <t>DR13056</t>
  </si>
  <si>
    <t>4-8 WATT 320 Ma</t>
  </si>
  <si>
    <t>SM0105DR13057</t>
  </si>
  <si>
    <t>DR13057</t>
  </si>
  <si>
    <t>4-7 watt 300mA( A)</t>
  </si>
  <si>
    <t>SM0105DR13058</t>
  </si>
  <si>
    <t>DR13058</t>
  </si>
  <si>
    <t>45 WATT 1.2A</t>
  </si>
  <si>
    <t>SM0105DR13059</t>
  </si>
  <si>
    <t>DR13059</t>
  </si>
  <si>
    <t>27V 1.2A (32 WATT)</t>
  </si>
  <si>
    <t>SM0105DR13060</t>
  </si>
  <si>
    <t>DR13060</t>
  </si>
  <si>
    <t>T8 TUBE LIGHT DRIVER 5.8 VER</t>
  </si>
  <si>
    <t>SM0105DR13061</t>
  </si>
  <si>
    <t>DR13061</t>
  </si>
  <si>
    <t>SEM SURGE VER1.0</t>
  </si>
  <si>
    <t>SM0105DR13062</t>
  </si>
  <si>
    <t>DR13062</t>
  </si>
  <si>
    <t>EE 18-36 WATT  700mA</t>
  </si>
  <si>
    <t>SM0105DR13063</t>
  </si>
  <si>
    <t>DR13063</t>
  </si>
  <si>
    <t>30-35 WATT 700mA DRIVER(BLUE COLOUR)</t>
  </si>
  <si>
    <t>SM0105DR13064</t>
  </si>
  <si>
    <t>DR13064</t>
  </si>
  <si>
    <t>18-24 watt 350mA</t>
  </si>
  <si>
    <t>SM0105DR13065</t>
  </si>
  <si>
    <t>DR13065</t>
  </si>
  <si>
    <t>24-36 Watt 410mA</t>
  </si>
  <si>
    <t>SM0105DR13066</t>
  </si>
  <si>
    <t>DR13066</t>
  </si>
  <si>
    <t>24-42 Watt 240mA</t>
  </si>
  <si>
    <t>SM0105DR13067</t>
  </si>
  <si>
    <t>DR13067</t>
  </si>
  <si>
    <t>18-36Watt 600mA</t>
  </si>
  <si>
    <t>SM0105DR13068</t>
  </si>
  <si>
    <t>DR13068</t>
  </si>
  <si>
    <t>5 WATT (6300B VER1.4) DRIVER</t>
  </si>
  <si>
    <t>SM0105DR13069</t>
  </si>
  <si>
    <t>DR13069</t>
  </si>
  <si>
    <t>10 WATT (6300B VER1.4) DRIVER</t>
  </si>
  <si>
    <t>SM0105DR13070</t>
  </si>
  <si>
    <t>DR13070</t>
  </si>
  <si>
    <t>15 WATT (6300B VER1.4) DRIVER</t>
  </si>
  <si>
    <t>SM0105DR13071</t>
  </si>
  <si>
    <t>DR13071</t>
  </si>
  <si>
    <t>5-10 WATT SM6300B</t>
  </si>
  <si>
    <t>SM0105DR13072</t>
  </si>
  <si>
    <t>DR13072</t>
  </si>
  <si>
    <t>24-42 Watt 120mA,A</t>
  </si>
  <si>
    <t>SM0105DR13073</t>
  </si>
  <si>
    <t>DR13073</t>
  </si>
  <si>
    <t>10-20 W DC DC</t>
  </si>
  <si>
    <t>SM0105DR13074</t>
  </si>
  <si>
    <t>DR13074</t>
  </si>
  <si>
    <t>20-30 WATT DC DC</t>
  </si>
  <si>
    <t>DR13075</t>
  </si>
  <si>
    <t>30-35 W 25V 1.32A SM6300B</t>
  </si>
  <si>
    <t>DR13076</t>
  </si>
  <si>
    <t>4-7 WATT 700mA CLASS B</t>
  </si>
  <si>
    <t xml:space="preserve">SM3300 VER BL5.1 CIRCULAR DRIVER </t>
  </si>
  <si>
    <t>ADAPTOR 19V 3.5AMP</t>
  </si>
  <si>
    <t>ADAPTOR</t>
  </si>
  <si>
    <t>18-24W /320MA DRIVER</t>
  </si>
  <si>
    <t>24-42V/120MA DRIVER</t>
  </si>
  <si>
    <t>5.13VER</t>
  </si>
  <si>
    <t>DR13077</t>
  </si>
  <si>
    <t>DR13078</t>
  </si>
  <si>
    <t>DR13079</t>
  </si>
  <si>
    <t>DR13080</t>
  </si>
  <si>
    <t>DR13081</t>
  </si>
  <si>
    <t>SM0105DR13075</t>
  </si>
  <si>
    <t>SM0105DR13076</t>
  </si>
  <si>
    <t>SM0105DR13077</t>
  </si>
  <si>
    <t>SM0105DR13078</t>
  </si>
  <si>
    <t>SM0105DR13079</t>
  </si>
  <si>
    <t>SM0105DR13080</t>
  </si>
  <si>
    <t>SM0105DR13081</t>
  </si>
  <si>
    <t>FINISHED GOODS STOCK</t>
  </si>
  <si>
    <t>PRODUCT CODE</t>
  </si>
  <si>
    <t>SM0105FG16001</t>
  </si>
  <si>
    <t>FG16001</t>
  </si>
  <si>
    <t>65 WATT 3.2 Amp ADAPTORE</t>
  </si>
  <si>
    <t>F.G</t>
  </si>
  <si>
    <t>SM0105FG16002</t>
  </si>
  <si>
    <t>FG16002</t>
  </si>
  <si>
    <t>PANAL LIGHT</t>
  </si>
  <si>
    <t>SM0105FG16003</t>
  </si>
  <si>
    <t>FG16003</t>
  </si>
  <si>
    <t>DOWN LIGHT-15LED 6WATT</t>
  </si>
  <si>
    <t>DOWN LIGHT</t>
  </si>
  <si>
    <t>SM0105FG16004</t>
  </si>
  <si>
    <t>FG16004</t>
  </si>
  <si>
    <t>TUBE LIGHT - 2FEET (RETROFIT)</t>
  </si>
  <si>
    <t>TUBE LIGHT</t>
  </si>
  <si>
    <t>SM0105FG16005</t>
  </si>
  <si>
    <t>FG16005</t>
  </si>
  <si>
    <t>TUBE LIGHT - 4FEET RETROFIT-280 LEDS</t>
  </si>
  <si>
    <t>SM0105FG16006</t>
  </si>
  <si>
    <t>FG16006</t>
  </si>
  <si>
    <t>CDL3 WATT</t>
  </si>
  <si>
    <t>SM0105FG16007</t>
  </si>
  <si>
    <t>FG16007</t>
  </si>
  <si>
    <t>CDL5 WATT (MW)</t>
  </si>
  <si>
    <t>SM0105FG16008</t>
  </si>
  <si>
    <t>FG16008</t>
  </si>
  <si>
    <t>CDL10 WATT ( MW)</t>
  </si>
  <si>
    <t>SM0105FG16009</t>
  </si>
  <si>
    <t>FG16009</t>
  </si>
  <si>
    <t>CDL15 WATT ( MW)</t>
  </si>
  <si>
    <t>SM0105FG16010</t>
  </si>
  <si>
    <t>FG16010</t>
  </si>
  <si>
    <t>BULB 3WATT</t>
  </si>
  <si>
    <t>BULB</t>
  </si>
  <si>
    <t>SM0105FG16011</t>
  </si>
  <si>
    <t>FG16011</t>
  </si>
  <si>
    <t>BULB 5WATT</t>
  </si>
  <si>
    <t>SM0105FG16012</t>
  </si>
  <si>
    <t>FG16012</t>
  </si>
  <si>
    <t>BULB 7WATT</t>
  </si>
  <si>
    <t>SM0105FG16013</t>
  </si>
  <si>
    <t>FG16013</t>
  </si>
  <si>
    <t>CDLA6 WATT</t>
  </si>
  <si>
    <t>SM0105FG16014</t>
  </si>
  <si>
    <t>FG16014</t>
  </si>
  <si>
    <t>CDLA3 WATT</t>
  </si>
  <si>
    <t>SM0105FG16015</t>
  </si>
  <si>
    <t>FG16015</t>
  </si>
  <si>
    <t>TUBE LIGHT - 1FEET</t>
  </si>
  <si>
    <t>SM0007FG16016</t>
  </si>
  <si>
    <t>FG16016</t>
  </si>
  <si>
    <t>SPOT LIGHT</t>
  </si>
  <si>
    <t>SM0105FG16017</t>
  </si>
  <si>
    <t>FG16017</t>
  </si>
  <si>
    <t>CDL- 5 Watt   (WW)</t>
  </si>
  <si>
    <t>SM0105FG16018</t>
  </si>
  <si>
    <t>FG16018</t>
  </si>
  <si>
    <t xml:space="preserve"> CDL- 10 Watt  (WW)</t>
  </si>
  <si>
    <t>SM0105FG16019</t>
  </si>
  <si>
    <t>FG16019</t>
  </si>
  <si>
    <t>CDL- 15 Watt   (WW)</t>
  </si>
  <si>
    <t>SM0007FG16020</t>
  </si>
  <si>
    <t>FG16020</t>
  </si>
  <si>
    <t>Tube Light-2Ft  50 LED</t>
  </si>
  <si>
    <t>SM0105FG16021</t>
  </si>
  <si>
    <t>FG16021</t>
  </si>
  <si>
    <t xml:space="preserve"> Tube Light-2Ft  50 LED(WW)</t>
  </si>
  <si>
    <t>SM0105FG16022</t>
  </si>
  <si>
    <t>FG16022</t>
  </si>
  <si>
    <t xml:space="preserve">TL4FT RECTROFIT 100LED </t>
  </si>
  <si>
    <t>SM0105FG16023</t>
  </si>
  <si>
    <t>FG16023</t>
  </si>
  <si>
    <t>TL4FT INTEGREATED 100LED (WW)</t>
  </si>
  <si>
    <t>SM0105FG16024</t>
  </si>
  <si>
    <t>FG16024</t>
  </si>
  <si>
    <t>SPOT LIGHT- 3 Watt  ME BOM</t>
  </si>
  <si>
    <t>SM0105FG16025</t>
  </si>
  <si>
    <t>FG16025</t>
  </si>
  <si>
    <t xml:space="preserve"> CDL- 6 Watt  ME BOM</t>
  </si>
  <si>
    <t>SM0105FG16026</t>
  </si>
  <si>
    <t>FG16026</t>
  </si>
  <si>
    <t>SPOT LIGHT- 6 Watt  ME BOM</t>
  </si>
  <si>
    <t>SM0105FG16027</t>
  </si>
  <si>
    <t>FG16027</t>
  </si>
  <si>
    <t>CL-10 WATT 150 LED'S</t>
  </si>
  <si>
    <t>CEALING LIGHT</t>
  </si>
  <si>
    <t>SM0105FG16028</t>
  </si>
  <si>
    <t>FG16028</t>
  </si>
  <si>
    <t xml:space="preserve">15 WATT SQUARE DOWN LIGHT </t>
  </si>
  <si>
    <t>SM0105FG16029</t>
  </si>
  <si>
    <t>FG16029</t>
  </si>
  <si>
    <t>CDL- 3 Watt   (WW)</t>
  </si>
  <si>
    <t>SM0105FG16030</t>
  </si>
  <si>
    <t>FG16030</t>
  </si>
  <si>
    <t>SPOT LIGHT 30WATT</t>
  </si>
  <si>
    <t>SM0105FG16031</t>
  </si>
  <si>
    <t>FG16031</t>
  </si>
  <si>
    <t>DOWN LIGHT 2 X 2</t>
  </si>
  <si>
    <t>SM0105FG16032</t>
  </si>
  <si>
    <t>FG16032</t>
  </si>
  <si>
    <t>FLOOD LIGHT 20 WATT</t>
  </si>
  <si>
    <t>SM0105FG16033</t>
  </si>
  <si>
    <t>FG16033</t>
  </si>
  <si>
    <t>STREET LIGHT 72 WATT</t>
  </si>
  <si>
    <t>SM0105FG16034</t>
  </si>
  <si>
    <t>FG16034</t>
  </si>
  <si>
    <t>TL4FT RECTROFIT 100LED (MW)</t>
  </si>
  <si>
    <t>SM0105FG16035</t>
  </si>
  <si>
    <t>FG16035</t>
  </si>
  <si>
    <t>TUBELIGHT 3 FEET RETROFIT</t>
  </si>
  <si>
    <t>31.12.13</t>
  </si>
  <si>
    <t xml:space="preserve">SEMTRONICS  MICROSYSTEMS PVT LTD </t>
  </si>
  <si>
    <t>G.G STOCK AS ON 31.12.2013</t>
  </si>
  <si>
    <t>13.01.2014</t>
  </si>
  <si>
    <t>LD00022</t>
  </si>
  <si>
    <t>LD00023</t>
  </si>
  <si>
    <t>LED FM-P3528WLS-460W -R80-150mA (WARM WHITE)</t>
  </si>
  <si>
    <t>RS01130</t>
  </si>
  <si>
    <t>RS01131</t>
  </si>
  <si>
    <t>RS01132</t>
  </si>
  <si>
    <t>RS01133</t>
  </si>
  <si>
    <t>RS01134</t>
  </si>
  <si>
    <t>RS01135</t>
  </si>
  <si>
    <t>RS01136</t>
  </si>
  <si>
    <t>RS01137</t>
  </si>
  <si>
    <t>RS01138</t>
  </si>
  <si>
    <t>RS01139</t>
  </si>
  <si>
    <t>RS01140</t>
  </si>
  <si>
    <t>RS01141</t>
  </si>
  <si>
    <t>RS01142</t>
  </si>
  <si>
    <t>RS01143</t>
  </si>
  <si>
    <t>RS01144</t>
  </si>
  <si>
    <t>RS01145</t>
  </si>
  <si>
    <t>RS01146</t>
  </si>
  <si>
    <t>RS01147</t>
  </si>
  <si>
    <t>RS01148</t>
  </si>
  <si>
    <t>RS01149</t>
  </si>
  <si>
    <t>RS01150</t>
  </si>
  <si>
    <t>RS01151</t>
  </si>
  <si>
    <t>RS01152</t>
  </si>
  <si>
    <t>RS01153</t>
  </si>
  <si>
    <t>RS01154</t>
  </si>
  <si>
    <t>RS01155</t>
  </si>
  <si>
    <t>RS01156</t>
  </si>
  <si>
    <t>RS01157</t>
  </si>
  <si>
    <t>RS01158</t>
  </si>
  <si>
    <t>RS01159</t>
  </si>
  <si>
    <t>RS01160</t>
  </si>
  <si>
    <t>RS01161</t>
  </si>
  <si>
    <t>RS01162</t>
  </si>
  <si>
    <t>RS01163</t>
  </si>
  <si>
    <t>1.3E/1206</t>
  </si>
  <si>
    <t>10E/0805</t>
  </si>
  <si>
    <t>1E/1 WATT</t>
  </si>
  <si>
    <t>EL817</t>
  </si>
  <si>
    <t>DS1307</t>
  </si>
  <si>
    <t>39k/0805/1%</t>
  </si>
  <si>
    <t>182k/0805/1%</t>
  </si>
  <si>
    <t>62.5K/0805</t>
  </si>
  <si>
    <t>154k/0805</t>
  </si>
  <si>
    <t>1R690/1206</t>
  </si>
  <si>
    <t>82K 2W</t>
  </si>
  <si>
    <t>OE  / 1206 / 5%</t>
  </si>
  <si>
    <t>R680/1206</t>
  </si>
  <si>
    <t>50K/1206</t>
  </si>
  <si>
    <t>510K/1206</t>
  </si>
  <si>
    <t>10E/1206</t>
  </si>
  <si>
    <t>174KE/1206</t>
  </si>
  <si>
    <t>430E/1206</t>
  </si>
  <si>
    <t>1E/1/2 WATT AXEL</t>
  </si>
  <si>
    <t>15E/0805</t>
  </si>
  <si>
    <t>120K/1206</t>
  </si>
  <si>
    <t>56k/1206</t>
  </si>
  <si>
    <t>1R4/1206</t>
  </si>
  <si>
    <t>1R69/1206</t>
  </si>
  <si>
    <t>1R60/1206</t>
  </si>
  <si>
    <t>51K/1206</t>
  </si>
  <si>
    <t>1M/1206</t>
  </si>
  <si>
    <t>20K/0805</t>
  </si>
  <si>
    <t>12E/0805</t>
  </si>
  <si>
    <t>82K/1206</t>
  </si>
  <si>
    <t>68K/1206</t>
  </si>
  <si>
    <t>RS01164</t>
  </si>
  <si>
    <t>RS01165</t>
  </si>
  <si>
    <t>RS01168</t>
  </si>
  <si>
    <t>RS01169</t>
  </si>
  <si>
    <t>RS01170</t>
  </si>
  <si>
    <t>RS01171</t>
  </si>
  <si>
    <t>RS01172</t>
  </si>
  <si>
    <t>RS01173</t>
  </si>
  <si>
    <t>RS01174</t>
  </si>
  <si>
    <t>RS01175</t>
  </si>
  <si>
    <t>RS01176</t>
  </si>
  <si>
    <t>RS01177</t>
  </si>
  <si>
    <t>RS01178</t>
  </si>
  <si>
    <t>RS01179</t>
  </si>
  <si>
    <t>RS01180</t>
  </si>
  <si>
    <t>RS01181</t>
  </si>
  <si>
    <t>RS01182</t>
  </si>
  <si>
    <t>RS01183</t>
  </si>
  <si>
    <t>RS01184</t>
  </si>
  <si>
    <t>RS01185</t>
  </si>
  <si>
    <t>RS01186</t>
  </si>
  <si>
    <t>RS01187</t>
  </si>
  <si>
    <t>RS01188</t>
  </si>
  <si>
    <t>RS01189</t>
  </si>
  <si>
    <t>RS01190</t>
  </si>
  <si>
    <t>RS01191</t>
  </si>
  <si>
    <t>RS01192</t>
  </si>
  <si>
    <t>PCB09053</t>
  </si>
  <si>
    <t>PCB09054</t>
  </si>
  <si>
    <t>PCB09055</t>
  </si>
  <si>
    <t>PCB09056</t>
  </si>
  <si>
    <t>PCB09057</t>
  </si>
  <si>
    <t>PCB09058</t>
  </si>
  <si>
    <t>PCB09059</t>
  </si>
  <si>
    <t>PCB09060</t>
  </si>
  <si>
    <t>PCB09061</t>
  </si>
  <si>
    <t>PCB09062</t>
  </si>
  <si>
    <t>PCB09063</t>
  </si>
  <si>
    <t>PCB09064</t>
  </si>
  <si>
    <t>PCB09065</t>
  </si>
  <si>
    <t>PCB09066</t>
  </si>
  <si>
    <t>PCB09067</t>
  </si>
  <si>
    <t>PCB09068</t>
  </si>
  <si>
    <t>PCB09069</t>
  </si>
  <si>
    <t>PCB09070</t>
  </si>
  <si>
    <t>PCB09071</t>
  </si>
  <si>
    <t>PCB09072</t>
  </si>
  <si>
    <t>PCB09073</t>
  </si>
  <si>
    <t>PCB09074</t>
  </si>
  <si>
    <t>PCB09075</t>
  </si>
  <si>
    <t>PCB09080</t>
  </si>
  <si>
    <t>VER SDR 26 XXA 1.0 S/S (60 X 1)</t>
  </si>
  <si>
    <t>EE20 - TRANSFORMER 10031</t>
  </si>
  <si>
    <t>EE16 - TRANSFORMER 15947</t>
  </si>
  <si>
    <t>3.15A, 250V Slow Blow</t>
  </si>
  <si>
    <t>10D471K(300/10)</t>
  </si>
  <si>
    <t>PCB VER DLES 02</t>
  </si>
  <si>
    <t>CAP POLY 47NF/275V / 20% X2  10MM PITCH</t>
  </si>
  <si>
    <t>DIODE UF 4007</t>
  </si>
  <si>
    <r>
      <t>150K/1206 / 1</t>
    </r>
    <r>
      <rPr>
        <strike/>
        <sz val="11"/>
        <color theme="1"/>
        <rFont val="Calibri"/>
        <family val="2"/>
        <scheme val="minor"/>
      </rPr>
      <t>%</t>
    </r>
  </si>
  <si>
    <t>68E/1206 / 1%</t>
  </si>
  <si>
    <t>ELE.CAP 1UF/50V/ 20% --105@C</t>
  </si>
  <si>
    <t>ELE.CAP 470UF/50V/ 20%--105@C</t>
  </si>
  <si>
    <t>ELE.CAP 220UF/50V/ 20%--105@C</t>
  </si>
  <si>
    <t>ELE.CAP 220UF/63V/ 20%--105@C</t>
  </si>
  <si>
    <t>CFR 2M2/1/4 / 5%</t>
  </si>
  <si>
    <t>CFR 150K /1/2 / 5%</t>
  </si>
  <si>
    <t>INDUCTOR 1MH / 300mA  size 8x10</t>
  </si>
  <si>
    <t>inductor</t>
  </si>
  <si>
    <t xml:space="preserve">TRANSFORMER EE13 --ETR </t>
  </si>
  <si>
    <t>SMD CAP 680nF/50v / 805</t>
  </si>
  <si>
    <t>SMD CAP 47PF /1206/50V /20%</t>
  </si>
  <si>
    <t>0E/0805</t>
  </si>
  <si>
    <t xml:space="preserve">1UF/50V/0805 </t>
  </si>
  <si>
    <t>CHIP RESISTOR</t>
  </si>
  <si>
    <t>MF02008</t>
  </si>
  <si>
    <t>DE05020</t>
  </si>
  <si>
    <t>DE05021</t>
  </si>
  <si>
    <t>DE05022</t>
  </si>
  <si>
    <t>RS01193</t>
  </si>
  <si>
    <t>RS01194</t>
  </si>
  <si>
    <t>RS01195</t>
  </si>
  <si>
    <t>CR18008</t>
  </si>
  <si>
    <t>CP04050</t>
  </si>
  <si>
    <t>CP04051</t>
  </si>
  <si>
    <t>CP04052</t>
  </si>
  <si>
    <t>CP04053</t>
  </si>
  <si>
    <t>CP04054</t>
  </si>
  <si>
    <t>CP04056</t>
  </si>
  <si>
    <t>CP04057</t>
  </si>
  <si>
    <t>CP04058</t>
  </si>
  <si>
    <t>CP04059</t>
  </si>
  <si>
    <t>IN08017</t>
  </si>
  <si>
    <t>IN08018</t>
  </si>
  <si>
    <t>IN08019</t>
  </si>
  <si>
    <t>IN08020</t>
  </si>
  <si>
    <t>IN08021</t>
  </si>
  <si>
    <t>MOV11006</t>
  </si>
  <si>
    <t>MOV11007</t>
  </si>
  <si>
    <t>MOV11008</t>
  </si>
  <si>
    <t>IC15017</t>
  </si>
  <si>
    <t>IC15018</t>
  </si>
  <si>
    <t>IC15019</t>
  </si>
  <si>
    <t>ES07040</t>
  </si>
  <si>
    <t>4FT-T8 TUBE LIGHT FIXTURE(OVEL)</t>
  </si>
  <si>
    <t>ES07041</t>
  </si>
  <si>
    <t>T5 TUBE LIGHT FIXTURE(SMALL)</t>
  </si>
  <si>
    <t>ES07042</t>
  </si>
  <si>
    <t>SMALL SIZE PLASTIC BOX 3 WATT</t>
  </si>
  <si>
    <t>ES07043</t>
  </si>
  <si>
    <t>BIG SIZE PLASTIC BOX 5-20 WATT</t>
  </si>
  <si>
    <t>ES07044</t>
  </si>
  <si>
    <t>CONTACT PART</t>
  </si>
  <si>
    <t>ES07045</t>
  </si>
  <si>
    <t>END CAP PIN</t>
  </si>
  <si>
    <t>IC15020</t>
  </si>
  <si>
    <t xml:space="preserve">SM UA 2121 JC </t>
  </si>
  <si>
    <t>IC15021</t>
  </si>
  <si>
    <t>AT 7373</t>
  </si>
  <si>
    <t>EQ10038</t>
  </si>
  <si>
    <t>Cello Tape 1"</t>
  </si>
  <si>
    <t>EQ10039</t>
  </si>
  <si>
    <t>BATTERY</t>
  </si>
  <si>
    <t xml:space="preserve">TIMER LITHIUM CELL </t>
  </si>
  <si>
    <t>EQ10040</t>
  </si>
  <si>
    <t>BATTERY HOLDER</t>
  </si>
  <si>
    <t xml:space="preserve">TIMER LITHIUM CELL HOLDER </t>
  </si>
  <si>
    <t>EQ10041</t>
  </si>
  <si>
    <t>11.0592MHZ</t>
  </si>
  <si>
    <t xml:space="preserve"> TIMER CRISTAL OSSILATOR</t>
  </si>
  <si>
    <t>EQ10042</t>
  </si>
  <si>
    <t>PIC16F886</t>
  </si>
  <si>
    <t xml:space="preserve"> TIMER MICROCONTROLLER</t>
  </si>
  <si>
    <t>EQ10043</t>
  </si>
  <si>
    <t>CRISTAL OSSILATOR</t>
  </si>
  <si>
    <t>EQ10044</t>
  </si>
  <si>
    <t>32KHZ</t>
  </si>
  <si>
    <t>EQ10046</t>
  </si>
  <si>
    <t>M3 X 13 SCREW</t>
  </si>
  <si>
    <t>SCREW</t>
  </si>
  <si>
    <t>EQ10047</t>
  </si>
  <si>
    <t>M3 PLASTIC WASHER</t>
  </si>
  <si>
    <t>WASHER</t>
  </si>
  <si>
    <t>EQ10048</t>
  </si>
  <si>
    <t>FASCOAT 20 X 10 4UPS 1 INCH</t>
  </si>
  <si>
    <t>BAR CODING LABEL</t>
  </si>
  <si>
    <t>EQ10049</t>
  </si>
  <si>
    <t>MSRW 25 WATTS;120E</t>
  </si>
  <si>
    <t>MEGA WIREWOUND RESISTORS</t>
  </si>
  <si>
    <t>EQ10050</t>
  </si>
  <si>
    <t>MSRW 25 WATTS;166E</t>
  </si>
  <si>
    <t>EQ10051</t>
  </si>
  <si>
    <t>MASTER COTTON BOX (350X340X245)</t>
  </si>
  <si>
    <t>EQ10052</t>
  </si>
  <si>
    <t>MSRW 20 WATTS;400E</t>
  </si>
  <si>
    <t>EQ10053</t>
  </si>
  <si>
    <t xml:space="preserve">PACKING CRATE FOR CHANNAL TRAY </t>
  </si>
  <si>
    <t>TUBE LIGHT DRIVER PACKING TRAY</t>
  </si>
  <si>
    <t>EQ10054</t>
  </si>
  <si>
    <t>10-15 WATT COTTON BOX(610 X 415 )</t>
  </si>
  <si>
    <t>MASTER COTTON BOX FOR 10 AND 15 WATT</t>
  </si>
  <si>
    <t>EQ10055</t>
  </si>
  <si>
    <t>5 WATT COTTON BOX(395 X 265 )</t>
  </si>
  <si>
    <t>MASTER COTTON BOX FOR 5 WATT</t>
  </si>
  <si>
    <t>EQ10056</t>
  </si>
  <si>
    <t>3 WATT COTTON BOX</t>
  </si>
  <si>
    <t>MASTER COTTON BOX FOR 3 WATT</t>
  </si>
  <si>
    <t>EQ10057</t>
  </si>
  <si>
    <t>MSRW 30 WATTS;390E</t>
  </si>
  <si>
    <t>EQ10058</t>
  </si>
  <si>
    <t>MSRW 20 WATTS;94E</t>
  </si>
  <si>
    <t>EQ10059</t>
  </si>
  <si>
    <t>MSRW 20 WATTS;142E</t>
  </si>
  <si>
    <t>EQ10060</t>
  </si>
  <si>
    <t>MSRW 20 WATTS;185E</t>
  </si>
  <si>
    <t>EQ10061</t>
  </si>
  <si>
    <t>MSRW 20 WATTS;67E</t>
  </si>
  <si>
    <t>EQ10062</t>
  </si>
  <si>
    <t>MSRW 20 WATTS;80E</t>
  </si>
  <si>
    <t>EQ10063</t>
  </si>
  <si>
    <t>MSRW 20 WATTS;62E</t>
  </si>
  <si>
    <t>EQ10064</t>
  </si>
  <si>
    <t>MSRW 20 WATTS;114E</t>
  </si>
  <si>
    <t>EQ10065</t>
  </si>
  <si>
    <t>MSRW 10 WATTS;27E</t>
  </si>
  <si>
    <t>EQ10066</t>
  </si>
  <si>
    <t>MSRW 120 WATTS;400E</t>
  </si>
  <si>
    <t>EQ10067</t>
  </si>
  <si>
    <t>CORRUGATED BOARD AND BOXES 3 PLY BOXES WITH PUNCHING</t>
  </si>
  <si>
    <t>EQ10068</t>
  </si>
  <si>
    <t>5 PLY MASTER COTTON BOX</t>
  </si>
  <si>
    <t>EQ10069</t>
  </si>
  <si>
    <t>BAR CODE STICKER</t>
  </si>
  <si>
    <t>EQ10070</t>
  </si>
  <si>
    <t xml:space="preserve"> LABLE STICKER</t>
  </si>
  <si>
    <t>EQ10072</t>
  </si>
  <si>
    <t>MSRW 10 WATTS;47E</t>
  </si>
  <si>
    <t>SHREE ELECTRONICS</t>
  </si>
  <si>
    <t>EQ10073</t>
  </si>
  <si>
    <t>BALE PATTI CLIPS</t>
  </si>
  <si>
    <t>SEAPAC SYSTEMS</t>
  </si>
  <si>
    <t>EQ10074</t>
  </si>
  <si>
    <t>BROWN TAPE 3"</t>
  </si>
  <si>
    <t>EQ10075</t>
  </si>
  <si>
    <t>STRETCH WRAP FILM ROLL 500MM X 23 MICRON</t>
  </si>
  <si>
    <t xml:space="preserve">STRETCH WRAP </t>
  </si>
  <si>
    <t>Total</t>
  </si>
  <si>
    <t>WR12004</t>
  </si>
  <si>
    <t>19 stands tefflon wire Red</t>
  </si>
  <si>
    <t>WR12005</t>
  </si>
  <si>
    <t>19 stands tefflon wire Black</t>
  </si>
  <si>
    <t>19 StrandsTEFLON WIRE</t>
  </si>
  <si>
    <t>MOV11009</t>
  </si>
  <si>
    <t>7D471K(300/14)</t>
  </si>
  <si>
    <t>THM11010</t>
  </si>
  <si>
    <t>NTC/RES_2W</t>
  </si>
  <si>
    <t>SM4N60</t>
  </si>
  <si>
    <t>MF02009</t>
  </si>
  <si>
    <t>4N80T.TO-220</t>
  </si>
  <si>
    <t>MF02010</t>
  </si>
  <si>
    <t>12N90</t>
  </si>
  <si>
    <t>IN08022</t>
  </si>
  <si>
    <t>EE16-4.5MH</t>
  </si>
  <si>
    <t>EE13</t>
  </si>
  <si>
    <t xml:space="preserve">SK1.25MH </t>
  </si>
  <si>
    <t>2.2mH</t>
  </si>
  <si>
    <t>EE25 H</t>
  </si>
  <si>
    <t>ETR-EE13 HORIZONTAL 2.2~2.3mH TRANSFORMER</t>
  </si>
  <si>
    <t>IN08023</t>
  </si>
  <si>
    <t>EE-25 TRANSFORMER MT 4512</t>
  </si>
  <si>
    <t>IN08024</t>
  </si>
  <si>
    <t>2.4MH /0.7A/ 12 X 15</t>
  </si>
  <si>
    <t>IN08025</t>
  </si>
  <si>
    <t>EF20 H MT- 10031</t>
  </si>
  <si>
    <t>SEM VER TL 6.3  (52 LED) S/S PCB</t>
  </si>
  <si>
    <t>SEM -VER LED  1MM S/S WHITE MASK ROUND PCB 9W 2P 9S (LED ASSEMBLED )</t>
  </si>
  <si>
    <t>PCB09076</t>
  </si>
  <si>
    <t>PCB09077</t>
  </si>
  <si>
    <t>PCB09078</t>
  </si>
  <si>
    <t>PCB09079</t>
  </si>
  <si>
    <t>PCB09081</t>
  </si>
  <si>
    <t>PCB09082</t>
  </si>
  <si>
    <t>SSTxxB-VER  DL  1.9</t>
  </si>
  <si>
    <t>SM 18 WATT VER 5.13 DRIVER PCB</t>
  </si>
  <si>
    <t>3 WATT CIRCULAR MC PCB WITH LED ASSEMBLED(SPOT LIGHT)CN</t>
  </si>
  <si>
    <t>PCBA</t>
  </si>
  <si>
    <t>VER DL ES 02 (34mm*82mm)</t>
  </si>
  <si>
    <t>SEM VER T15.8-D/S PCB</t>
  </si>
  <si>
    <t>SEM VER TLLP 3528 4.0-S/S (13 X 1 ) WHITE MASK PCB</t>
  </si>
  <si>
    <t>SSTXX B-VERST-1.12 D/S(8 X 1)</t>
  </si>
  <si>
    <t>6 WATT MC PCB(UNIVERSAL)</t>
  </si>
  <si>
    <t>PCB09083</t>
  </si>
  <si>
    <t>PCB09084</t>
  </si>
  <si>
    <t>PCB09085</t>
  </si>
  <si>
    <t>PCB09086</t>
  </si>
  <si>
    <t>PCB09087</t>
  </si>
  <si>
    <t>PCB09088</t>
  </si>
  <si>
    <t>PCB09089</t>
  </si>
  <si>
    <t xml:space="preserve">  FM-3014WNS-460R</t>
  </si>
  <si>
    <t>FM-P3528WNS-460W(150mA)</t>
  </si>
  <si>
    <t>FM-P3528WNS-460Q(60mA)</t>
  </si>
  <si>
    <t>NFSW757DT</t>
  </si>
  <si>
    <t>LD00024</t>
  </si>
  <si>
    <t>220Uf/100v</t>
  </si>
  <si>
    <t>224J/630V</t>
  </si>
  <si>
    <t>2.2nF/1000V/1206</t>
  </si>
  <si>
    <t>22uF/63V</t>
  </si>
  <si>
    <t>4.7uF/450v</t>
  </si>
  <si>
    <t>100nF(104)</t>
  </si>
  <si>
    <t>10uF/63V</t>
  </si>
  <si>
    <t>100nf/63V</t>
  </si>
  <si>
    <t>2.2uF/63V</t>
  </si>
  <si>
    <t>47Pf/50V-0805</t>
  </si>
  <si>
    <t>470/50 ELE CAP</t>
  </si>
  <si>
    <t>1NF/1000V-0805</t>
  </si>
  <si>
    <t>1MF/50V-0805</t>
  </si>
  <si>
    <t>470/63 ELE CAP</t>
  </si>
  <si>
    <t>10UF/250V</t>
  </si>
  <si>
    <t>CAP_EL_5_3</t>
  </si>
  <si>
    <t>CAP_EL_5_4</t>
  </si>
  <si>
    <t>CAP_EL_5_2</t>
  </si>
  <si>
    <t>TIMER CAPACITOR</t>
  </si>
  <si>
    <t>TIMER CRISTAL OSSILATOR</t>
  </si>
  <si>
    <t>CP04060</t>
  </si>
  <si>
    <t>4.7uF/500v</t>
  </si>
  <si>
    <t>CP04061</t>
  </si>
  <si>
    <t>220uF,50V 105 deg</t>
  </si>
  <si>
    <t>CP04062</t>
  </si>
  <si>
    <t>680nf/0805/50V</t>
  </si>
  <si>
    <t>CHIP CAPACITOR</t>
  </si>
  <si>
    <t>CP04063</t>
  </si>
  <si>
    <t>22nF/275VAC</t>
  </si>
  <si>
    <t>CP04064</t>
  </si>
  <si>
    <t>100nF 305V AC</t>
  </si>
  <si>
    <t xml:space="preserve">   X2 BOX CAP         (10mm pitch)</t>
  </si>
  <si>
    <t>CP04065</t>
  </si>
  <si>
    <t>SMD CAP 47PF / 50V -1206</t>
  </si>
  <si>
    <t>CP04066</t>
  </si>
  <si>
    <t xml:space="preserve">220nf/630V </t>
  </si>
  <si>
    <t>CP04067</t>
  </si>
  <si>
    <t>CP04010</t>
  </si>
  <si>
    <t>CP04068</t>
  </si>
  <si>
    <t>CP04069</t>
  </si>
  <si>
    <t>CP04070</t>
  </si>
  <si>
    <t>CP04071</t>
  </si>
  <si>
    <t>CP04072</t>
  </si>
  <si>
    <t>CP04073</t>
  </si>
  <si>
    <t>CP04074</t>
  </si>
  <si>
    <t>CP04075</t>
  </si>
  <si>
    <t>CP04076</t>
  </si>
  <si>
    <t>CP04077</t>
  </si>
  <si>
    <t>CP04078</t>
  </si>
  <si>
    <t>CP04079</t>
  </si>
  <si>
    <t>CP04080</t>
  </si>
  <si>
    <t>CP04081</t>
  </si>
  <si>
    <t>CP04082</t>
  </si>
  <si>
    <t>CP04083</t>
  </si>
  <si>
    <t>CP04084</t>
  </si>
  <si>
    <t>CP04085</t>
  </si>
  <si>
    <t>CP04086</t>
  </si>
  <si>
    <t>CP04087</t>
  </si>
  <si>
    <t>CP04088</t>
  </si>
  <si>
    <t>CP04089</t>
  </si>
  <si>
    <t>CP04090</t>
  </si>
  <si>
    <t>CP04091</t>
  </si>
  <si>
    <t>CP04092</t>
  </si>
  <si>
    <t>CP04093</t>
  </si>
  <si>
    <t>CP04094</t>
  </si>
  <si>
    <t>CP04095</t>
  </si>
  <si>
    <t>CP04096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</si>
</sst>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%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新細明體"/>
      <family val="1"/>
      <charset val="136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SimSun-ExtB"/>
      <family val="3"/>
      <charset val="134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44" fontId="3" fillId="0" borderId="0" applyFont="0" applyFill="0" applyBorder="0" applyAlignment="0" applyProtection="0"/>
    <xf numFmtId="0" fontId="6" fillId="0" borderId="0">
      <alignment vertical="center"/>
    </xf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28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8" xfId="0" applyFill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3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8" xfId="0" applyBorder="1"/>
    <xf numFmtId="0" fontId="0" fillId="0" borderId="8" xfId="0" applyFill="1" applyBorder="1" applyAlignment="1">
      <alignment horizontal="center"/>
    </xf>
    <xf numFmtId="0" fontId="0" fillId="0" borderId="10" xfId="0" applyBorder="1"/>
    <xf numFmtId="0" fontId="0" fillId="0" borderId="5" xfId="0" applyBorder="1" applyAlignment="1">
      <alignment horizontal="center"/>
    </xf>
    <xf numFmtId="2" fontId="4" fillId="0" borderId="8" xfId="1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3" borderId="8" xfId="0" applyNumberFormat="1" applyFon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15" xfId="0" applyBorder="1"/>
    <xf numFmtId="0" fontId="0" fillId="0" borderId="4" xfId="0" applyBorder="1"/>
    <xf numFmtId="2" fontId="0" fillId="3" borderId="8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2" fontId="1" fillId="2" borderId="19" xfId="0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0" fillId="2" borderId="18" xfId="0" applyFill="1" applyBorder="1"/>
    <xf numFmtId="0" fontId="0" fillId="0" borderId="10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19" xfId="0" applyFill="1" applyBorder="1"/>
    <xf numFmtId="0" fontId="1" fillId="2" borderId="2" xfId="0" applyFont="1" applyFill="1" applyBorder="1"/>
    <xf numFmtId="0" fontId="0" fillId="0" borderId="22" xfId="0" applyBorder="1"/>
    <xf numFmtId="0" fontId="0" fillId="0" borderId="22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0" fillId="3" borderId="0" xfId="0" applyNumberFormat="1" applyFill="1" applyBorder="1" applyAlignment="1">
      <alignment horizontal="center"/>
    </xf>
    <xf numFmtId="0" fontId="0" fillId="0" borderId="7" xfId="0" applyFill="1" applyBorder="1"/>
    <xf numFmtId="0" fontId="0" fillId="0" borderId="15" xfId="0" applyFill="1" applyBorder="1"/>
    <xf numFmtId="0" fontId="0" fillId="0" borderId="16" xfId="0" applyFont="1" applyBorder="1" applyAlignment="1">
      <alignment horizontal="center"/>
    </xf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2" borderId="12" xfId="0" applyFill="1" applyBorder="1"/>
    <xf numFmtId="2" fontId="0" fillId="2" borderId="14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8" fillId="0" borderId="8" xfId="4" applyFont="1" applyBorder="1" applyAlignment="1">
      <alignment horizontal="center" vertical="center"/>
    </xf>
    <xf numFmtId="2" fontId="0" fillId="0" borderId="0" xfId="0" applyNumberFormat="1"/>
    <xf numFmtId="0" fontId="0" fillId="0" borderId="26" xfId="0" applyBorder="1"/>
    <xf numFmtId="0" fontId="1" fillId="0" borderId="1" xfId="0" applyFont="1" applyBorder="1"/>
    <xf numFmtId="0" fontId="1" fillId="0" borderId="2" xfId="0" applyFont="1" applyBorder="1"/>
    <xf numFmtId="0" fontId="10" fillId="0" borderId="3" xfId="0" applyFont="1" applyBorder="1" applyAlignment="1">
      <alignment vertical="center"/>
    </xf>
    <xf numFmtId="0" fontId="5" fillId="0" borderId="6" xfId="0" applyFont="1" applyBorder="1" applyAlignment="1">
      <alignment vertical="top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5" fillId="0" borderId="9" xfId="0" applyFont="1" applyFill="1" applyBorder="1" applyAlignment="1">
      <alignment vertical="top"/>
    </xf>
    <xf numFmtId="0" fontId="4" fillId="0" borderId="9" xfId="0" applyFont="1" applyBorder="1" applyAlignment="1">
      <alignment vertical="top" wrapText="1"/>
    </xf>
    <xf numFmtId="0" fontId="4" fillId="0" borderId="9" xfId="0" applyFont="1" applyBorder="1" applyAlignment="1"/>
    <xf numFmtId="0" fontId="5" fillId="3" borderId="9" xfId="0" applyFont="1" applyFill="1" applyBorder="1" applyAlignment="1">
      <alignment vertical="center"/>
    </xf>
    <xf numFmtId="0" fontId="5" fillId="3" borderId="9" xfId="0" applyFont="1" applyFill="1" applyBorder="1" applyAlignment="1">
      <alignment vertical="top"/>
    </xf>
    <xf numFmtId="0" fontId="4" fillId="0" borderId="9" xfId="0" applyFont="1" applyBorder="1" applyAlignment="1">
      <alignment vertical="center" wrapText="1"/>
    </xf>
    <xf numFmtId="0" fontId="5" fillId="0" borderId="9" xfId="2" applyFont="1" applyBorder="1" applyAlignment="1">
      <alignment vertical="top"/>
    </xf>
    <xf numFmtId="0" fontId="0" fillId="0" borderId="8" xfId="0" applyFill="1" applyBorder="1"/>
    <xf numFmtId="0" fontId="0" fillId="0" borderId="10" xfId="0" applyFill="1" applyBorder="1"/>
    <xf numFmtId="0" fontId="0" fillId="3" borderId="0" xfId="0" applyFill="1"/>
    <xf numFmtId="0" fontId="0" fillId="3" borderId="8" xfId="0" applyFill="1" applyBorder="1"/>
    <xf numFmtId="0" fontId="0" fillId="3" borderId="7" xfId="0" applyFill="1" applyBorder="1"/>
    <xf numFmtId="0" fontId="11" fillId="0" borderId="8" xfId="0" applyFont="1" applyBorder="1" applyAlignment="1">
      <alignment horizontal="center" vertical="center"/>
    </xf>
    <xf numFmtId="0" fontId="0" fillId="4" borderId="8" xfId="0" applyFill="1" applyBorder="1"/>
    <xf numFmtId="49" fontId="0" fillId="4" borderId="8" xfId="0" applyNumberFormat="1" applyFill="1" applyBorder="1"/>
    <xf numFmtId="0" fontId="0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2" fontId="0" fillId="0" borderId="8" xfId="0" applyNumberFormat="1" applyBorder="1" applyAlignment="1"/>
    <xf numFmtId="0" fontId="0" fillId="4" borderId="23" xfId="0" applyFill="1" applyBorder="1"/>
    <xf numFmtId="0" fontId="0" fillId="4" borderId="10" xfId="0" applyFill="1" applyBorder="1"/>
    <xf numFmtId="0" fontId="0" fillId="4" borderId="27" xfId="0" applyFill="1" applyBorder="1"/>
    <xf numFmtId="0" fontId="0" fillId="2" borderId="8" xfId="0" applyFill="1" applyBorder="1"/>
    <xf numFmtId="2" fontId="0" fillId="0" borderId="25" xfId="0" applyNumberFormat="1" applyBorder="1" applyAlignment="1">
      <alignment horizontal="center"/>
    </xf>
    <xf numFmtId="49" fontId="0" fillId="0" borderId="8" xfId="0" applyNumberFormat="1" applyBorder="1"/>
    <xf numFmtId="1" fontId="0" fillId="0" borderId="0" xfId="0" applyNumberFormat="1" applyBorder="1"/>
    <xf numFmtId="2" fontId="0" fillId="0" borderId="27" xfId="0" applyNumberFormat="1" applyBorder="1" applyAlignment="1">
      <alignment horizontal="center"/>
    </xf>
    <xf numFmtId="0" fontId="1" fillId="2" borderId="24" xfId="0" applyFont="1" applyFill="1" applyBorder="1"/>
    <xf numFmtId="2" fontId="0" fillId="3" borderId="9" xfId="0" applyNumberFormat="1" applyFill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2" fontId="0" fillId="0" borderId="28" xfId="0" applyNumberFormat="1" applyBorder="1" applyAlignment="1">
      <alignment horizontal="center"/>
    </xf>
    <xf numFmtId="0" fontId="14" fillId="0" borderId="0" xfId="0" applyFont="1"/>
    <xf numFmtId="0" fontId="0" fillId="4" borderId="8" xfId="0" applyFill="1" applyBorder="1" applyAlignment="1">
      <alignment horizontal="center"/>
    </xf>
    <xf numFmtId="2" fontId="0" fillId="2" borderId="8" xfId="0" applyNumberFormat="1" applyFill="1" applyBorder="1"/>
    <xf numFmtId="0" fontId="14" fillId="0" borderId="26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0" fontId="14" fillId="0" borderId="16" xfId="0" applyFont="1" applyFill="1" applyBorder="1" applyAlignment="1">
      <alignment horizontal="center"/>
    </xf>
    <xf numFmtId="2" fontId="14" fillId="3" borderId="16" xfId="0" applyNumberFormat="1" applyFont="1" applyFill="1" applyBorder="1" applyAlignment="1">
      <alignment horizontal="center"/>
    </xf>
    <xf numFmtId="2" fontId="4" fillId="2" borderId="8" xfId="0" applyNumberFormat="1" applyFont="1" applyFill="1" applyBorder="1" applyAlignment="1">
      <alignment horizontal="center"/>
    </xf>
    <xf numFmtId="2" fontId="1" fillId="2" borderId="25" xfId="0" applyNumberFormat="1" applyFont="1" applyFill="1" applyBorder="1"/>
    <xf numFmtId="0" fontId="2" fillId="0" borderId="8" xfId="0" applyFon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49" fontId="0" fillId="5" borderId="8" xfId="0" applyNumberFormat="1" applyFill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13" fillId="6" borderId="8" xfId="0" applyFont="1" applyFill="1" applyBorder="1" applyAlignment="1">
      <alignment horizontal="center"/>
    </xf>
    <xf numFmtId="2" fontId="0" fillId="4" borderId="8" xfId="0" applyNumberFormat="1" applyFill="1" applyBorder="1"/>
    <xf numFmtId="2" fontId="0" fillId="3" borderId="16" xfId="0" applyNumberForma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2" fontId="1" fillId="2" borderId="30" xfId="0" applyNumberFormat="1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0" fillId="2" borderId="24" xfId="0" applyFill="1" applyBorder="1"/>
    <xf numFmtId="2" fontId="0" fillId="2" borderId="25" xfId="0" applyNumberFormat="1" applyFill="1" applyBorder="1"/>
    <xf numFmtId="0" fontId="5" fillId="0" borderId="8" xfId="0" applyFont="1" applyBorder="1" applyAlignment="1">
      <alignment horizontal="center" vertical="center"/>
    </xf>
    <xf numFmtId="0" fontId="0" fillId="0" borderId="23" xfId="0" applyBorder="1"/>
    <xf numFmtId="0" fontId="1" fillId="2" borderId="32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29" xfId="0" applyBorder="1"/>
    <xf numFmtId="2" fontId="0" fillId="3" borderId="8" xfId="0" applyNumberFormat="1" applyFont="1" applyFill="1" applyBorder="1" applyAlignment="1">
      <alignment horizontal="center"/>
    </xf>
    <xf numFmtId="0" fontId="0" fillId="0" borderId="22" xfId="0" applyFont="1" applyBorder="1" applyAlignment="1">
      <alignment horizontal="left"/>
    </xf>
    <xf numFmtId="0" fontId="2" fillId="3" borderId="16" xfId="0" applyFont="1" applyFill="1" applyBorder="1" applyAlignment="1">
      <alignment horizontal="center"/>
    </xf>
    <xf numFmtId="0" fontId="18" fillId="3" borderId="8" xfId="0" applyFont="1" applyFill="1" applyBorder="1" applyAlignment="1">
      <alignment horizontal="center"/>
    </xf>
    <xf numFmtId="10" fontId="0" fillId="0" borderId="0" xfId="9" applyNumberFormat="1" applyFont="1"/>
    <xf numFmtId="164" fontId="0" fillId="0" borderId="0" xfId="8" applyNumberFormat="1" applyFont="1"/>
    <xf numFmtId="165" fontId="0" fillId="0" borderId="0" xfId="9" applyNumberFormat="1" applyFont="1"/>
    <xf numFmtId="165" fontId="0" fillId="0" borderId="17" xfId="9" applyNumberFormat="1" applyFont="1" applyBorder="1"/>
    <xf numFmtId="0" fontId="1" fillId="2" borderId="34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1" fontId="0" fillId="3" borderId="8" xfId="0" applyNumberFormat="1" applyFill="1" applyBorder="1"/>
    <xf numFmtId="0" fontId="5" fillId="3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8" xfId="0" applyFont="1" applyBorder="1" applyAlignment="1">
      <alignment horizontal="center"/>
    </xf>
    <xf numFmtId="0" fontId="0" fillId="3" borderId="7" xfId="0" applyFill="1" applyBorder="1" applyAlignment="1">
      <alignment horizontal="left"/>
    </xf>
    <xf numFmtId="0" fontId="0" fillId="2" borderId="8" xfId="0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2" fontId="0" fillId="2" borderId="25" xfId="0" applyNumberFormat="1" applyFill="1" applyBorder="1" applyAlignment="1">
      <alignment horizontal="center"/>
    </xf>
    <xf numFmtId="0" fontId="0" fillId="3" borderId="8" xfId="0" applyFill="1" applyBorder="1" applyAlignment="1">
      <alignment horizontal="left"/>
    </xf>
    <xf numFmtId="2" fontId="0" fillId="3" borderId="10" xfId="0" applyNumberFormat="1" applyFill="1" applyBorder="1" applyAlignment="1">
      <alignment horizontal="center"/>
    </xf>
    <xf numFmtId="2" fontId="0" fillId="2" borderId="24" xfId="0" applyNumberFormat="1" applyFill="1" applyBorder="1" applyAlignment="1">
      <alignment horizontal="center"/>
    </xf>
    <xf numFmtId="0" fontId="0" fillId="0" borderId="27" xfId="0" applyBorder="1"/>
    <xf numFmtId="0" fontId="0" fillId="3" borderId="5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11" fillId="3" borderId="8" xfId="0" applyFont="1" applyFill="1" applyBorder="1" applyAlignment="1">
      <alignment vertical="center"/>
    </xf>
    <xf numFmtId="0" fontId="0" fillId="0" borderId="36" xfId="0" applyBorder="1"/>
    <xf numFmtId="0" fontId="0" fillId="0" borderId="35" xfId="0" applyFont="1" applyBorder="1" applyAlignment="1">
      <alignment horizontal="center"/>
    </xf>
    <xf numFmtId="0" fontId="0" fillId="0" borderId="35" xfId="0" applyFont="1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2" fontId="4" fillId="2" borderId="37" xfId="0" applyNumberFormat="1" applyFont="1" applyFill="1" applyBorder="1" applyAlignment="1">
      <alignment horizontal="center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3" borderId="8" xfId="0" applyFont="1" applyFill="1" applyBorder="1"/>
    <xf numFmtId="0" fontId="0" fillId="0" borderId="34" xfId="0" applyFont="1" applyFill="1" applyBorder="1" applyAlignment="1">
      <alignment horizontal="center"/>
    </xf>
    <xf numFmtId="0" fontId="1" fillId="9" borderId="24" xfId="0" applyFont="1" applyFill="1" applyBorder="1"/>
    <xf numFmtId="0" fontId="0" fillId="9" borderId="5" xfId="0" applyFill="1" applyBorder="1" applyAlignment="1">
      <alignment horizontal="center"/>
    </xf>
    <xf numFmtId="164" fontId="0" fillId="10" borderId="8" xfId="8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7" borderId="0" xfId="0" applyFill="1"/>
    <xf numFmtId="0" fontId="0" fillId="7" borderId="8" xfId="0" applyFill="1" applyBorder="1"/>
    <xf numFmtId="0" fontId="1" fillId="7" borderId="8" xfId="0" applyFont="1" applyFill="1" applyBorder="1" applyAlignment="1">
      <alignment horizontal="center"/>
    </xf>
    <xf numFmtId="0" fontId="0" fillId="7" borderId="8" xfId="0" applyFont="1" applyFill="1" applyBorder="1" applyAlignment="1">
      <alignment horizontal="center"/>
    </xf>
    <xf numFmtId="49" fontId="0" fillId="11" borderId="8" xfId="0" applyNumberForma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49" fontId="0" fillId="3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49" fontId="0" fillId="3" borderId="8" xfId="0" applyNumberFormat="1" applyFill="1" applyBorder="1" applyAlignment="1">
      <alignment horizontal="center" vertical="center"/>
    </xf>
    <xf numFmtId="49" fontId="0" fillId="0" borderId="0" xfId="0" applyNumberFormat="1" applyBorder="1"/>
    <xf numFmtId="2" fontId="0" fillId="0" borderId="40" xfId="0" applyNumberForma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2" fontId="0" fillId="0" borderId="8" xfId="0" applyNumberForma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0" fontId="0" fillId="0" borderId="15" xfId="0" applyFont="1" applyBorder="1" applyAlignment="1">
      <alignment horizontal="center"/>
    </xf>
    <xf numFmtId="1" fontId="4" fillId="3" borderId="10" xfId="0" applyNumberFormat="1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15" fillId="0" borderId="10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14" xfId="0" applyNumberFormat="1" applyBorder="1"/>
    <xf numFmtId="49" fontId="0" fillId="3" borderId="8" xfId="0" applyNumberFormat="1" applyFill="1" applyBorder="1"/>
    <xf numFmtId="0" fontId="0" fillId="3" borderId="29" xfId="0" applyFill="1" applyBorder="1" applyAlignment="1">
      <alignment horizontal="center"/>
    </xf>
    <xf numFmtId="2" fontId="0" fillId="3" borderId="8" xfId="0" applyNumberFormat="1" applyFill="1" applyBorder="1" applyAlignment="1"/>
    <xf numFmtId="49" fontId="0" fillId="3" borderId="0" xfId="0" applyNumberFormat="1" applyFill="1" applyBorder="1"/>
    <xf numFmtId="0" fontId="0" fillId="3" borderId="16" xfId="0" applyFont="1" applyFill="1" applyBorder="1" applyAlignment="1">
      <alignment horizontal="center"/>
    </xf>
    <xf numFmtId="0" fontId="0" fillId="3" borderId="29" xfId="0" applyFill="1" applyBorder="1"/>
    <xf numFmtId="0" fontId="14" fillId="3" borderId="8" xfId="0" applyFont="1" applyFill="1" applyBorder="1"/>
    <xf numFmtId="0" fontId="0" fillId="3" borderId="29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8" xfId="0" applyFont="1" applyFill="1" applyBorder="1" applyAlignment="1"/>
    <xf numFmtId="2" fontId="2" fillId="3" borderId="8" xfId="0" applyNumberFormat="1" applyFont="1" applyFill="1" applyBorder="1" applyAlignment="1">
      <alignment horizontal="center"/>
    </xf>
    <xf numFmtId="164" fontId="1" fillId="2" borderId="8" xfId="8" applyNumberFormat="1" applyFont="1" applyFill="1" applyBorder="1" applyAlignment="1">
      <alignment horizontal="center"/>
    </xf>
    <xf numFmtId="165" fontId="0" fillId="0" borderId="8" xfId="9" applyNumberFormat="1" applyFont="1" applyBorder="1"/>
    <xf numFmtId="164" fontId="2" fillId="3" borderId="8" xfId="8" applyNumberFormat="1" applyFont="1" applyFill="1" applyBorder="1" applyAlignment="1">
      <alignment horizontal="center"/>
    </xf>
    <xf numFmtId="165" fontId="2" fillId="3" borderId="8" xfId="9" applyNumberFormat="1" applyFont="1" applyFill="1" applyBorder="1"/>
    <xf numFmtId="164" fontId="0" fillId="3" borderId="8" xfId="8" applyNumberFormat="1" applyFont="1" applyFill="1" applyBorder="1" applyAlignment="1">
      <alignment horizontal="center"/>
    </xf>
    <xf numFmtId="165" fontId="0" fillId="3" borderId="8" xfId="9" applyNumberFormat="1" applyFont="1" applyFill="1" applyBorder="1"/>
    <xf numFmtId="0" fontId="2" fillId="8" borderId="41" xfId="0" applyFont="1" applyFill="1" applyBorder="1" applyAlignment="1">
      <alignment horizontal="center"/>
    </xf>
    <xf numFmtId="164" fontId="0" fillId="3" borderId="16" xfId="8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3" xfId="8" applyNumberFormat="1" applyFont="1" applyFill="1" applyBorder="1" applyAlignment="1">
      <alignment horizontal="center"/>
    </xf>
    <xf numFmtId="164" fontId="0" fillId="4" borderId="8" xfId="8" applyNumberFormat="1" applyFont="1" applyFill="1" applyBorder="1"/>
    <xf numFmtId="0" fontId="1" fillId="4" borderId="38" xfId="0" applyFont="1" applyFill="1" applyBorder="1"/>
    <xf numFmtId="164" fontId="1" fillId="4" borderId="25" xfId="8" applyNumberFormat="1" applyFont="1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4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1" xfId="0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0" fontId="0" fillId="0" borderId="44" xfId="0" applyBorder="1"/>
    <xf numFmtId="0" fontId="13" fillId="3" borderId="8" xfId="0" applyFont="1" applyFill="1" applyBorder="1"/>
    <xf numFmtId="0" fontId="12" fillId="3" borderId="8" xfId="0" applyFont="1" applyFill="1" applyBorder="1"/>
    <xf numFmtId="0" fontId="0" fillId="3" borderId="18" xfId="0" applyFill="1" applyBorder="1"/>
    <xf numFmtId="0" fontId="0" fillId="3" borderId="19" xfId="0" applyFill="1" applyBorder="1"/>
    <xf numFmtId="0" fontId="1" fillId="3" borderId="19" xfId="0" applyFont="1" applyFill="1" applyBorder="1" applyAlignment="1">
      <alignment horizontal="center"/>
    </xf>
    <xf numFmtId="2" fontId="1" fillId="3" borderId="19" xfId="0" applyNumberFormat="1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/>
    </xf>
    <xf numFmtId="0" fontId="5" fillId="3" borderId="8" xfId="0" applyFont="1" applyFill="1" applyBorder="1" applyAlignment="1">
      <alignment vertical="center"/>
    </xf>
    <xf numFmtId="0" fontId="0" fillId="3" borderId="15" xfId="0" applyFill="1" applyBorder="1"/>
    <xf numFmtId="0" fontId="0" fillId="3" borderId="10" xfId="0" applyFill="1" applyBorder="1"/>
    <xf numFmtId="0" fontId="0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4" fillId="3" borderId="5" xfId="0" applyFont="1" applyFill="1" applyBorder="1" applyAlignment="1">
      <alignment horizontal="center"/>
    </xf>
    <xf numFmtId="0" fontId="0" fillId="3" borderId="26" xfId="0" applyFill="1" applyBorder="1"/>
    <xf numFmtId="0" fontId="5" fillId="3" borderId="16" xfId="0" applyFont="1" applyFill="1" applyBorder="1" applyAlignment="1">
      <alignment horizontal="center" vertical="center"/>
    </xf>
    <xf numFmtId="2" fontId="5" fillId="3" borderId="16" xfId="0" applyNumberFormat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/>
    </xf>
    <xf numFmtId="2" fontId="16" fillId="3" borderId="8" xfId="0" applyNumberFormat="1" applyFont="1" applyFill="1" applyBorder="1" applyAlignment="1">
      <alignment horizontal="center"/>
    </xf>
    <xf numFmtId="0" fontId="0" fillId="3" borderId="21" xfId="0" applyFill="1" applyBorder="1"/>
    <xf numFmtId="0" fontId="0" fillId="3" borderId="16" xfId="0" applyFill="1" applyBorder="1"/>
    <xf numFmtId="2" fontId="0" fillId="0" borderId="8" xfId="0" applyNumberFormat="1" applyFont="1" applyBorder="1" applyAlignment="1">
      <alignment horizontal="center"/>
    </xf>
    <xf numFmtId="0" fontId="0" fillId="0" borderId="8" xfId="0" applyFont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7" xfId="0" applyFont="1" applyFill="1" applyBorder="1"/>
    <xf numFmtId="0" fontId="0" fillId="3" borderId="15" xfId="0" applyFont="1" applyFill="1" applyBorder="1"/>
    <xf numFmtId="0" fontId="0" fillId="3" borderId="10" xfId="0" applyFont="1" applyFill="1" applyBorder="1"/>
    <xf numFmtId="0" fontId="0" fillId="3" borderId="16" xfId="0" applyFont="1" applyFill="1" applyBorder="1"/>
    <xf numFmtId="49" fontId="0" fillId="3" borderId="8" xfId="0" applyNumberFormat="1" applyFont="1" applyFill="1" applyBorder="1" applyAlignment="1">
      <alignment horizontal="center"/>
    </xf>
    <xf numFmtId="2" fontId="0" fillId="3" borderId="16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2" fontId="0" fillId="3" borderId="9" xfId="0" applyNumberFormat="1" applyFont="1" applyFill="1" applyBorder="1" applyAlignment="1">
      <alignment horizontal="center"/>
    </xf>
    <xf numFmtId="0" fontId="0" fillId="3" borderId="26" xfId="0" applyFont="1" applyFill="1" applyBorder="1"/>
    <xf numFmtId="2" fontId="0" fillId="3" borderId="42" xfId="0" applyNumberFormat="1" applyFont="1" applyFill="1" applyBorder="1" applyAlignment="1">
      <alignment horizontal="center"/>
    </xf>
    <xf numFmtId="2" fontId="0" fillId="3" borderId="10" xfId="0" applyNumberFormat="1" applyFont="1" applyFill="1" applyBorder="1" applyAlignment="1">
      <alignment horizontal="center"/>
    </xf>
    <xf numFmtId="0" fontId="0" fillId="3" borderId="11" xfId="0" applyFont="1" applyFill="1" applyBorder="1"/>
    <xf numFmtId="0" fontId="0" fillId="3" borderId="10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2" fontId="0" fillId="3" borderId="5" xfId="0" applyNumberFormat="1" applyFont="1" applyFill="1" applyBorder="1" applyAlignment="1">
      <alignment horizontal="center"/>
    </xf>
    <xf numFmtId="2" fontId="0" fillId="0" borderId="6" xfId="0" applyNumberFormat="1" applyFont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2" fontId="0" fillId="3" borderId="8" xfId="0" applyNumberFormat="1" applyFont="1" applyFill="1" applyBorder="1"/>
    <xf numFmtId="2" fontId="0" fillId="0" borderId="8" xfId="0" applyNumberFormat="1" applyFont="1" applyBorder="1"/>
    <xf numFmtId="0" fontId="2" fillId="0" borderId="8" xfId="4" applyFont="1" applyBorder="1" applyAlignment="1">
      <alignment horizontal="center" vertical="center"/>
    </xf>
    <xf numFmtId="0" fontId="2" fillId="0" borderId="8" xfId="3" applyFont="1" applyBorder="1" applyAlignment="1">
      <alignment horizontal="center"/>
    </xf>
    <xf numFmtId="0" fontId="2" fillId="0" borderId="8" xfId="3" applyFont="1" applyBorder="1" applyAlignment="1">
      <alignment horizontal="center" wrapText="1"/>
    </xf>
    <xf numFmtId="0" fontId="2" fillId="0" borderId="8" xfId="7" applyFont="1" applyBorder="1" applyAlignment="1">
      <alignment horizontal="center"/>
    </xf>
    <xf numFmtId="0" fontId="2" fillId="0" borderId="8" xfId="0" applyFont="1" applyBorder="1" applyAlignment="1">
      <alignment vertical="center"/>
    </xf>
    <xf numFmtId="49" fontId="0" fillId="0" borderId="8" xfId="0" applyNumberFormat="1" applyFont="1" applyFill="1" applyBorder="1" applyAlignment="1">
      <alignment horizontal="center"/>
    </xf>
    <xf numFmtId="0" fontId="2" fillId="3" borderId="0" xfId="0" applyFont="1" applyFill="1"/>
    <xf numFmtId="0" fontId="0" fillId="3" borderId="8" xfId="0" applyFont="1" applyFill="1" applyBorder="1" applyAlignment="1">
      <alignment horizontal="center" vertical="center"/>
    </xf>
    <xf numFmtId="2" fontId="0" fillId="3" borderId="22" xfId="0" applyNumberForma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22" xfId="0" applyFont="1" applyFill="1" applyBorder="1" applyAlignment="1">
      <alignment horizontal="center"/>
    </xf>
    <xf numFmtId="0" fontId="0" fillId="6" borderId="0" xfId="0" applyFill="1"/>
    <xf numFmtId="0" fontId="5" fillId="3" borderId="10" xfId="0" applyFont="1" applyFill="1" applyBorder="1" applyAlignment="1">
      <alignment horizontal="center" vertical="center"/>
    </xf>
    <xf numFmtId="0" fontId="0" fillId="3" borderId="41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2" fontId="1" fillId="9" borderId="14" xfId="0" applyNumberFormat="1" applyFont="1" applyFill="1" applyBorder="1" applyAlignment="1">
      <alignment horizontal="center"/>
    </xf>
    <xf numFmtId="0" fontId="0" fillId="3" borderId="21" xfId="0" applyFont="1" applyFill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0" fontId="0" fillId="3" borderId="45" xfId="0" applyFill="1" applyBorder="1"/>
    <xf numFmtId="0" fontId="2" fillId="3" borderId="36" xfId="0" applyFont="1" applyFill="1" applyBorder="1" applyAlignment="1">
      <alignment horizontal="center" vertical="center"/>
    </xf>
    <xf numFmtId="49" fontId="0" fillId="3" borderId="5" xfId="0" applyNumberFormat="1" applyFont="1" applyFill="1" applyBorder="1" applyAlignment="1">
      <alignment horizontal="center"/>
    </xf>
    <xf numFmtId="49" fontId="2" fillId="3" borderId="5" xfId="0" applyNumberFormat="1" applyFont="1" applyFill="1" applyBorder="1" applyAlignment="1">
      <alignment horizontal="center"/>
    </xf>
    <xf numFmtId="2" fontId="5" fillId="3" borderId="8" xfId="0" applyNumberFormat="1" applyFont="1" applyFill="1" applyBorder="1" applyAlignment="1">
      <alignment horizontal="center"/>
    </xf>
    <xf numFmtId="2" fontId="2" fillId="3" borderId="9" xfId="0" applyNumberFormat="1" applyFont="1" applyFill="1" applyBorder="1" applyAlignment="1">
      <alignment horizontal="center"/>
    </xf>
    <xf numFmtId="0" fontId="0" fillId="3" borderId="46" xfId="0" applyFont="1" applyFill="1" applyBorder="1" applyAlignment="1">
      <alignment horizontal="center"/>
    </xf>
    <xf numFmtId="49" fontId="0" fillId="3" borderId="8" xfId="0" applyNumberFormat="1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vertical="center"/>
    </xf>
    <xf numFmtId="49" fontId="0" fillId="3" borderId="8" xfId="0" applyNumberFormat="1" applyFon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</cellXfs>
  <cellStyles count="10">
    <cellStyle name="Comma" xfId="8" builtinId="3"/>
    <cellStyle name="Currency" xfId="1" builtinId="4"/>
    <cellStyle name="Normal" xfId="0" builtinId="0"/>
    <cellStyle name="Normal 2" xfId="6"/>
    <cellStyle name="Normal 3" xfId="2"/>
    <cellStyle name="Normal 4" xfId="5"/>
    <cellStyle name="Normal 7" xfId="4"/>
    <cellStyle name="Normal 8" xfId="7"/>
    <cellStyle name="Normal 9" xfId="3"/>
    <cellStyle name="Percent" xfId="9" builtinId="5"/>
  </cellStyles>
  <dxfs count="0"/>
  <tableStyles count="0" defaultTableStyle="TableStyleMedium9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K27"/>
  <sheetViews>
    <sheetView topLeftCell="A5" workbookViewId="0">
      <selection activeCell="E22" sqref="E22"/>
    </sheetView>
  </sheetViews>
  <sheetFormatPr defaultRowHeight="15"/>
  <cols>
    <col min="1" max="1" width="19.7109375" bestFit="1" customWidth="1"/>
    <col min="2" max="2" width="13.85546875" bestFit="1" customWidth="1"/>
    <col min="3" max="3" width="5.7109375" bestFit="1" customWidth="1"/>
    <col min="4" max="4" width="27.42578125" customWidth="1"/>
    <col min="5" max="5" width="13.5703125" bestFit="1" customWidth="1"/>
    <col min="6" max="6" width="8.5703125" bestFit="1" customWidth="1"/>
    <col min="7" max="9" width="8.5703125" customWidth="1"/>
    <col min="10" max="10" width="10.85546875" bestFit="1" customWidth="1"/>
    <col min="11" max="11" width="9.42578125" bestFit="1" customWidth="1"/>
  </cols>
  <sheetData>
    <row r="1" spans="1:11" ht="15.75" thickBot="1"/>
    <row r="2" spans="1:11" ht="15.75" thickBot="1">
      <c r="A2" s="315" t="s">
        <v>598</v>
      </c>
      <c r="B2" s="316"/>
      <c r="C2" s="316"/>
      <c r="D2" s="316"/>
      <c r="E2" s="316"/>
      <c r="F2" s="316"/>
      <c r="G2" s="316"/>
      <c r="H2" s="316"/>
      <c r="I2" s="316"/>
      <c r="J2" s="316"/>
      <c r="K2" s="317"/>
    </row>
    <row r="4" spans="1:11">
      <c r="A4" s="94" t="s">
        <v>349</v>
      </c>
      <c r="B4" s="94" t="s">
        <v>150</v>
      </c>
      <c r="C4" s="89" t="s">
        <v>0</v>
      </c>
      <c r="D4" s="89" t="s">
        <v>1</v>
      </c>
      <c r="E4" s="89" t="s">
        <v>2</v>
      </c>
      <c r="F4" s="89" t="s">
        <v>3</v>
      </c>
      <c r="G4" s="89" t="s">
        <v>1301</v>
      </c>
      <c r="H4" s="89" t="s">
        <v>1297</v>
      </c>
      <c r="I4" s="89" t="s">
        <v>1296</v>
      </c>
      <c r="J4" s="88" t="s">
        <v>131</v>
      </c>
      <c r="K4" s="89" t="s">
        <v>136</v>
      </c>
    </row>
    <row r="5" spans="1:11">
      <c r="A5" s="15" t="s">
        <v>497</v>
      </c>
      <c r="B5" s="9" t="s">
        <v>276</v>
      </c>
      <c r="C5" s="5">
        <v>1</v>
      </c>
      <c r="D5" s="9" t="s">
        <v>1274</v>
      </c>
      <c r="E5" s="5" t="s">
        <v>25</v>
      </c>
      <c r="F5" s="5">
        <v>0</v>
      </c>
      <c r="G5" s="5">
        <v>0</v>
      </c>
      <c r="H5" s="5">
        <v>0</v>
      </c>
      <c r="I5" s="5">
        <v>3000</v>
      </c>
      <c r="J5" s="20">
        <v>4.5</v>
      </c>
      <c r="K5" s="22">
        <f>I5*J5</f>
        <v>13500</v>
      </c>
    </row>
    <row r="6" spans="1:11">
      <c r="A6" s="15" t="s">
        <v>498</v>
      </c>
      <c r="B6" s="9" t="s">
        <v>277</v>
      </c>
      <c r="C6" s="5">
        <v>2</v>
      </c>
      <c r="D6" s="5" t="s">
        <v>26</v>
      </c>
      <c r="E6" s="5" t="s">
        <v>25</v>
      </c>
      <c r="F6" s="5"/>
      <c r="G6" s="5"/>
      <c r="H6" s="5"/>
      <c r="I6" s="5">
        <f t="shared" ref="I6:I27" si="0">F6+G6-H6</f>
        <v>0</v>
      </c>
      <c r="J6" s="20">
        <v>3.5</v>
      </c>
      <c r="K6" s="22">
        <f t="shared" ref="K6:K22" si="1">I6*J6</f>
        <v>0</v>
      </c>
    </row>
    <row r="7" spans="1:11">
      <c r="A7" s="15" t="s">
        <v>499</v>
      </c>
      <c r="B7" s="9" t="s">
        <v>278</v>
      </c>
      <c r="C7" s="5">
        <v>3</v>
      </c>
      <c r="D7" s="5" t="s">
        <v>27</v>
      </c>
      <c r="E7" s="5" t="s">
        <v>25</v>
      </c>
      <c r="F7" s="5"/>
      <c r="G7" s="5"/>
      <c r="H7" s="5"/>
      <c r="I7" s="5">
        <f t="shared" si="0"/>
        <v>0</v>
      </c>
      <c r="J7" s="20">
        <v>5.52</v>
      </c>
      <c r="K7" s="22">
        <f t="shared" si="1"/>
        <v>0</v>
      </c>
    </row>
    <row r="8" spans="1:11">
      <c r="A8" s="15" t="s">
        <v>505</v>
      </c>
      <c r="B8" s="9" t="s">
        <v>279</v>
      </c>
      <c r="C8" s="5">
        <v>4</v>
      </c>
      <c r="D8" s="5" t="s">
        <v>28</v>
      </c>
      <c r="E8" s="5" t="s">
        <v>25</v>
      </c>
      <c r="F8" s="5"/>
      <c r="G8" s="5"/>
      <c r="H8" s="5"/>
      <c r="I8" s="5">
        <f t="shared" si="0"/>
        <v>0</v>
      </c>
      <c r="J8" s="21">
        <v>5.9</v>
      </c>
      <c r="K8" s="22">
        <f t="shared" si="1"/>
        <v>0</v>
      </c>
    </row>
    <row r="9" spans="1:11">
      <c r="A9" s="15" t="s">
        <v>500</v>
      </c>
      <c r="B9" s="9" t="s">
        <v>280</v>
      </c>
      <c r="C9" s="5">
        <v>5</v>
      </c>
      <c r="D9" s="5" t="s">
        <v>29</v>
      </c>
      <c r="E9" s="5" t="s">
        <v>25</v>
      </c>
      <c r="F9" s="5"/>
      <c r="G9" s="5"/>
      <c r="H9" s="5"/>
      <c r="I9" s="5">
        <f t="shared" si="0"/>
        <v>0</v>
      </c>
      <c r="J9" s="20">
        <v>0</v>
      </c>
      <c r="K9" s="22">
        <f t="shared" si="1"/>
        <v>0</v>
      </c>
    </row>
    <row r="10" spans="1:11">
      <c r="A10" s="15" t="s">
        <v>501</v>
      </c>
      <c r="B10" s="9" t="s">
        <v>281</v>
      </c>
      <c r="C10" s="5">
        <v>6</v>
      </c>
      <c r="D10" s="9" t="s">
        <v>1267</v>
      </c>
      <c r="E10" s="5" t="s">
        <v>25</v>
      </c>
      <c r="F10" s="5">
        <v>250</v>
      </c>
      <c r="G10" s="5"/>
      <c r="H10" s="5"/>
      <c r="I10" s="5">
        <f t="shared" si="0"/>
        <v>250</v>
      </c>
      <c r="J10" s="20">
        <v>0.65</v>
      </c>
      <c r="K10" s="22">
        <f t="shared" si="1"/>
        <v>162.5</v>
      </c>
    </row>
    <row r="11" spans="1:11">
      <c r="A11" s="15" t="s">
        <v>502</v>
      </c>
      <c r="B11" s="9" t="s">
        <v>282</v>
      </c>
      <c r="C11" s="5">
        <v>7</v>
      </c>
      <c r="D11" s="5" t="s">
        <v>35</v>
      </c>
      <c r="E11" s="5" t="s">
        <v>36</v>
      </c>
      <c r="F11" s="5">
        <v>137</v>
      </c>
      <c r="G11" s="5"/>
      <c r="H11" s="5"/>
      <c r="I11" s="5">
        <f t="shared" si="0"/>
        <v>137</v>
      </c>
      <c r="J11" s="22">
        <v>2.9</v>
      </c>
      <c r="K11" s="22">
        <f t="shared" si="1"/>
        <v>397.3</v>
      </c>
    </row>
    <row r="12" spans="1:11">
      <c r="A12" s="15" t="s">
        <v>503</v>
      </c>
      <c r="B12" s="9" t="s">
        <v>283</v>
      </c>
      <c r="C12" s="5">
        <v>8</v>
      </c>
      <c r="D12" s="5" t="s">
        <v>37</v>
      </c>
      <c r="E12" s="5" t="s">
        <v>36</v>
      </c>
      <c r="F12" s="5">
        <v>820</v>
      </c>
      <c r="G12" s="5">
        <v>60000</v>
      </c>
      <c r="H12" s="5">
        <f>10+10</f>
        <v>20</v>
      </c>
      <c r="I12" s="5">
        <f t="shared" si="0"/>
        <v>60800</v>
      </c>
      <c r="J12" s="20">
        <v>1</v>
      </c>
      <c r="K12" s="22">
        <f t="shared" si="1"/>
        <v>60800</v>
      </c>
    </row>
    <row r="13" spans="1:11">
      <c r="A13" s="15" t="s">
        <v>506</v>
      </c>
      <c r="B13" s="9" t="s">
        <v>284</v>
      </c>
      <c r="C13" s="5">
        <v>9</v>
      </c>
      <c r="D13" s="5" t="s">
        <v>38</v>
      </c>
      <c r="E13" s="5" t="s">
        <v>36</v>
      </c>
      <c r="F13" s="5"/>
      <c r="G13" s="5"/>
      <c r="H13" s="5"/>
      <c r="I13" s="5">
        <f t="shared" si="0"/>
        <v>0</v>
      </c>
      <c r="J13" s="22">
        <v>2.9</v>
      </c>
      <c r="K13" s="22">
        <f t="shared" si="1"/>
        <v>0</v>
      </c>
    </row>
    <row r="14" spans="1:11">
      <c r="A14" s="15" t="s">
        <v>507</v>
      </c>
      <c r="B14" s="9" t="s">
        <v>285</v>
      </c>
      <c r="C14" s="5">
        <v>10</v>
      </c>
      <c r="D14" s="9" t="s">
        <v>39</v>
      </c>
      <c r="E14" s="5" t="s">
        <v>36</v>
      </c>
      <c r="F14" s="5"/>
      <c r="G14" s="5"/>
      <c r="H14" s="5"/>
      <c r="I14" s="5">
        <f t="shared" si="0"/>
        <v>0</v>
      </c>
      <c r="J14" s="22">
        <v>2.9</v>
      </c>
      <c r="K14" s="22">
        <f t="shared" si="1"/>
        <v>0</v>
      </c>
    </row>
    <row r="15" spans="1:11">
      <c r="A15" s="15" t="s">
        <v>508</v>
      </c>
      <c r="B15" s="9" t="s">
        <v>286</v>
      </c>
      <c r="C15" s="5">
        <v>11</v>
      </c>
      <c r="D15" s="9" t="s">
        <v>1306</v>
      </c>
      <c r="E15" s="5" t="s">
        <v>36</v>
      </c>
      <c r="F15" s="5"/>
      <c r="G15" s="5">
        <f>400+750+1500</f>
        <v>2650</v>
      </c>
      <c r="H15" s="5">
        <f>400+200+550</f>
        <v>1150</v>
      </c>
      <c r="I15" s="5">
        <f t="shared" si="0"/>
        <v>1500</v>
      </c>
      <c r="J15" s="22">
        <v>3.5</v>
      </c>
      <c r="K15" s="22">
        <f t="shared" si="1"/>
        <v>5250</v>
      </c>
    </row>
    <row r="16" spans="1:11">
      <c r="A16" s="15" t="s">
        <v>504</v>
      </c>
      <c r="B16" s="9" t="s">
        <v>287</v>
      </c>
      <c r="C16" s="5">
        <v>12</v>
      </c>
      <c r="D16" s="9" t="s">
        <v>1198</v>
      </c>
      <c r="E16" s="5" t="s">
        <v>128</v>
      </c>
      <c r="F16" s="5">
        <v>30</v>
      </c>
      <c r="G16" s="5"/>
      <c r="H16" s="5"/>
      <c r="I16" s="5">
        <f t="shared" si="0"/>
        <v>30</v>
      </c>
      <c r="J16" s="29">
        <v>1.47</v>
      </c>
      <c r="K16" s="22">
        <f t="shared" si="1"/>
        <v>44.1</v>
      </c>
    </row>
    <row r="17" spans="1:11">
      <c r="A17" s="81" t="s">
        <v>913</v>
      </c>
      <c r="B17" s="10" t="s">
        <v>910</v>
      </c>
      <c r="C17" s="6">
        <v>13</v>
      </c>
      <c r="D17" s="236" t="s">
        <v>914</v>
      </c>
      <c r="E17" s="6" t="s">
        <v>36</v>
      </c>
      <c r="F17" s="6">
        <f>603+4+250+3000+95+603</f>
        <v>4555</v>
      </c>
      <c r="G17" s="6">
        <v>4800</v>
      </c>
      <c r="H17" s="6">
        <f>10+702+1000+5</f>
        <v>1717</v>
      </c>
      <c r="I17" s="6">
        <v>11138</v>
      </c>
      <c r="J17" s="29">
        <v>3.5</v>
      </c>
      <c r="K17" s="29">
        <f t="shared" si="1"/>
        <v>38983</v>
      </c>
    </row>
    <row r="18" spans="1:11">
      <c r="A18" s="81" t="s">
        <v>921</v>
      </c>
      <c r="B18" s="10" t="s">
        <v>911</v>
      </c>
      <c r="C18" s="6">
        <v>14</v>
      </c>
      <c r="D18" s="10" t="s">
        <v>920</v>
      </c>
      <c r="E18" s="10" t="s">
        <v>922</v>
      </c>
      <c r="F18" s="6"/>
      <c r="G18" s="6">
        <v>5000</v>
      </c>
      <c r="H18" s="6"/>
      <c r="I18" s="6">
        <f t="shared" si="0"/>
        <v>5000</v>
      </c>
      <c r="J18" s="29">
        <v>1.65</v>
      </c>
      <c r="K18" s="29">
        <f t="shared" si="1"/>
        <v>8250</v>
      </c>
    </row>
    <row r="19" spans="1:11">
      <c r="A19" s="81" t="s">
        <v>941</v>
      </c>
      <c r="B19" s="10" t="s">
        <v>912</v>
      </c>
      <c r="C19" s="6">
        <v>15</v>
      </c>
      <c r="D19" s="201" t="s">
        <v>1305</v>
      </c>
      <c r="E19" s="10" t="s">
        <v>36</v>
      </c>
      <c r="F19" s="6"/>
      <c r="G19" s="6">
        <v>2000</v>
      </c>
      <c r="H19" s="6">
        <v>2000</v>
      </c>
      <c r="I19" s="6">
        <f t="shared" si="0"/>
        <v>0</v>
      </c>
      <c r="J19" s="29">
        <v>1.1000000000000001</v>
      </c>
      <c r="K19" s="29">
        <f t="shared" si="1"/>
        <v>0</v>
      </c>
    </row>
    <row r="20" spans="1:11">
      <c r="A20" s="81" t="s">
        <v>942</v>
      </c>
      <c r="B20" s="10" t="s">
        <v>938</v>
      </c>
      <c r="C20" s="6">
        <v>16</v>
      </c>
      <c r="D20" s="201" t="s">
        <v>940</v>
      </c>
      <c r="E20" s="10" t="s">
        <v>36</v>
      </c>
      <c r="F20" s="6"/>
      <c r="G20" s="6"/>
      <c r="H20" s="6"/>
      <c r="I20" s="6">
        <f t="shared" si="0"/>
        <v>0</v>
      </c>
      <c r="J20" s="29">
        <v>4.9000000000000004</v>
      </c>
      <c r="K20" s="29">
        <f t="shared" si="1"/>
        <v>0</v>
      </c>
    </row>
    <row r="21" spans="1:11">
      <c r="A21" s="81" t="s">
        <v>944</v>
      </c>
      <c r="B21" s="10" t="s">
        <v>939</v>
      </c>
      <c r="C21" s="6">
        <v>17</v>
      </c>
      <c r="D21" s="201" t="s">
        <v>943</v>
      </c>
      <c r="E21" s="10" t="s">
        <v>36</v>
      </c>
      <c r="F21" s="6">
        <v>500</v>
      </c>
      <c r="G21" s="6"/>
      <c r="H21" s="6"/>
      <c r="I21" s="6">
        <f t="shared" si="0"/>
        <v>500</v>
      </c>
      <c r="J21" s="29">
        <v>3</v>
      </c>
      <c r="K21" s="29">
        <f t="shared" si="1"/>
        <v>1500</v>
      </c>
    </row>
    <row r="22" spans="1:11">
      <c r="A22" s="81"/>
      <c r="B22" s="10" t="s">
        <v>1033</v>
      </c>
      <c r="C22" s="6">
        <v>18</v>
      </c>
      <c r="D22" s="235" t="s">
        <v>1032</v>
      </c>
      <c r="E22" s="10" t="s">
        <v>36</v>
      </c>
      <c r="F22" s="6"/>
      <c r="G22" s="6"/>
      <c r="H22" s="6"/>
      <c r="I22" s="6">
        <f t="shared" si="0"/>
        <v>0</v>
      </c>
      <c r="J22" s="29"/>
      <c r="K22" s="29">
        <f t="shared" si="1"/>
        <v>0</v>
      </c>
    </row>
    <row r="23" spans="1:11">
      <c r="A23" s="81"/>
      <c r="B23" s="10" t="s">
        <v>1077</v>
      </c>
      <c r="C23" s="6"/>
      <c r="D23" s="201" t="s">
        <v>1360</v>
      </c>
      <c r="E23" s="10" t="s">
        <v>36</v>
      </c>
      <c r="F23" s="6"/>
      <c r="G23" s="6"/>
      <c r="H23" s="6"/>
      <c r="I23" s="6">
        <f t="shared" si="0"/>
        <v>0</v>
      </c>
      <c r="J23" s="29"/>
      <c r="K23" s="29">
        <f t="shared" ref="K23:K26" si="2">I23*J23</f>
        <v>0</v>
      </c>
    </row>
    <row r="24" spans="1:11">
      <c r="A24" s="81"/>
      <c r="B24" s="10" t="s">
        <v>2027</v>
      </c>
      <c r="C24" s="6"/>
      <c r="D24" s="201" t="s">
        <v>1286</v>
      </c>
      <c r="E24" s="10" t="s">
        <v>1268</v>
      </c>
      <c r="F24" s="6"/>
      <c r="G24" s="6">
        <f>10000+10000</f>
        <v>20000</v>
      </c>
      <c r="H24" s="6"/>
      <c r="I24" s="6">
        <f t="shared" si="0"/>
        <v>20000</v>
      </c>
      <c r="J24" s="29">
        <v>0.45</v>
      </c>
      <c r="K24" s="29">
        <f t="shared" si="2"/>
        <v>9000</v>
      </c>
    </row>
    <row r="25" spans="1:11">
      <c r="A25" s="81"/>
      <c r="B25" s="10" t="s">
        <v>2028</v>
      </c>
      <c r="C25" s="6"/>
      <c r="D25" s="201" t="s">
        <v>1269</v>
      </c>
      <c r="E25" s="10" t="s">
        <v>1268</v>
      </c>
      <c r="F25" s="6"/>
      <c r="G25" s="6"/>
      <c r="H25" s="6"/>
      <c r="I25" s="6">
        <f t="shared" si="0"/>
        <v>0</v>
      </c>
      <c r="J25" s="29"/>
      <c r="K25" s="29">
        <f t="shared" si="2"/>
        <v>0</v>
      </c>
    </row>
    <row r="26" spans="1:11">
      <c r="A26" s="81"/>
      <c r="B26" s="10" t="s">
        <v>2029</v>
      </c>
      <c r="C26" s="6"/>
      <c r="D26" s="201" t="s">
        <v>2009</v>
      </c>
      <c r="E26" s="10" t="s">
        <v>36</v>
      </c>
      <c r="F26" s="6">
        <v>0</v>
      </c>
      <c r="G26" s="6">
        <v>30000</v>
      </c>
      <c r="H26" s="6"/>
      <c r="I26" s="6">
        <f t="shared" si="0"/>
        <v>30000</v>
      </c>
      <c r="J26" s="29">
        <v>0.65</v>
      </c>
      <c r="K26" s="29">
        <f t="shared" si="2"/>
        <v>19500</v>
      </c>
    </row>
    <row r="27" spans="1:11">
      <c r="A27" s="78"/>
      <c r="B27" s="9"/>
      <c r="C27" s="5"/>
      <c r="D27" s="5"/>
      <c r="E27" s="5"/>
      <c r="F27" s="5"/>
      <c r="G27" s="5"/>
      <c r="H27" s="5"/>
      <c r="I27" s="5">
        <f t="shared" si="0"/>
        <v>0</v>
      </c>
      <c r="J27" s="115" t="s">
        <v>146</v>
      </c>
      <c r="K27" s="115">
        <f>SUM(K5:K26)</f>
        <v>157386.90000000002</v>
      </c>
    </row>
  </sheetData>
  <mergeCells count="1">
    <mergeCell ref="A2:K2"/>
  </mergeCells>
  <pageMargins left="0.7" right="0.7" top="0.75" bottom="0.75" header="0.3" footer="0.3"/>
  <pageSetup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2:K35"/>
  <sheetViews>
    <sheetView workbookViewId="0">
      <selection activeCell="K34" sqref="K34"/>
    </sheetView>
  </sheetViews>
  <sheetFormatPr defaultRowHeight="15"/>
  <cols>
    <col min="1" max="1" width="19.7109375" bestFit="1" customWidth="1"/>
    <col min="2" max="2" width="13.85546875" bestFit="1" customWidth="1"/>
    <col min="4" max="4" width="45.28515625" style="87" customWidth="1"/>
    <col min="5" max="5" width="12.7109375" bestFit="1" customWidth="1"/>
    <col min="10" max="10" width="10.85546875" bestFit="1" customWidth="1"/>
    <col min="11" max="11" width="12.5703125" bestFit="1" customWidth="1"/>
  </cols>
  <sheetData>
    <row r="2" spans="1:11" ht="15.75" thickBot="1"/>
    <row r="3" spans="1:11" ht="16.5" thickBot="1">
      <c r="A3" s="318" t="s">
        <v>615</v>
      </c>
      <c r="B3" s="319"/>
      <c r="C3" s="319"/>
      <c r="D3" s="319"/>
      <c r="E3" s="319"/>
      <c r="F3" s="319"/>
      <c r="G3" s="319"/>
      <c r="H3" s="319"/>
      <c r="I3" s="319"/>
      <c r="J3" s="319"/>
      <c r="K3" s="320"/>
    </row>
    <row r="4" spans="1:11" ht="15.75" thickBot="1"/>
    <row r="5" spans="1:11">
      <c r="A5" s="237" t="s">
        <v>349</v>
      </c>
      <c r="B5" s="238" t="s">
        <v>150</v>
      </c>
      <c r="C5" s="239" t="s">
        <v>0</v>
      </c>
      <c r="D5" s="239" t="s">
        <v>1</v>
      </c>
      <c r="E5" s="239" t="s">
        <v>2</v>
      </c>
      <c r="F5" s="239" t="s">
        <v>3</v>
      </c>
      <c r="G5" s="239" t="s">
        <v>1298</v>
      </c>
      <c r="H5" s="239" t="s">
        <v>1297</v>
      </c>
      <c r="I5" s="239" t="s">
        <v>1296</v>
      </c>
      <c r="J5" s="240" t="s">
        <v>131</v>
      </c>
      <c r="K5" s="241" t="s">
        <v>136</v>
      </c>
    </row>
    <row r="6" spans="1:11" s="80" customFormat="1">
      <c r="A6" s="82" t="s">
        <v>405</v>
      </c>
      <c r="B6" s="302" t="s">
        <v>247</v>
      </c>
      <c r="C6" s="6">
        <v>1</v>
      </c>
      <c r="D6" s="10" t="s">
        <v>57</v>
      </c>
      <c r="E6" s="6" t="s">
        <v>58</v>
      </c>
      <c r="F6" s="6">
        <v>956</v>
      </c>
      <c r="G6" s="6"/>
      <c r="H6" s="6"/>
      <c r="I6" s="6">
        <f>F6+G6-H6</f>
        <v>956</v>
      </c>
      <c r="J6" s="29">
        <v>30</v>
      </c>
      <c r="K6" s="100">
        <f>I6*J6</f>
        <v>28680</v>
      </c>
    </row>
    <row r="7" spans="1:11" s="80" customFormat="1">
      <c r="A7" s="82" t="s">
        <v>394</v>
      </c>
      <c r="B7" s="302" t="s">
        <v>248</v>
      </c>
      <c r="C7" s="6">
        <v>2</v>
      </c>
      <c r="D7" s="6" t="s">
        <v>59</v>
      </c>
      <c r="E7" s="6" t="s">
        <v>58</v>
      </c>
      <c r="F7" s="6">
        <v>910</v>
      </c>
      <c r="G7" s="6"/>
      <c r="H7" s="6"/>
      <c r="I7" s="6">
        <v>200</v>
      </c>
      <c r="J7" s="29">
        <v>1.2</v>
      </c>
      <c r="K7" s="100">
        <f t="shared" ref="K7:K29" si="0">I7*J7</f>
        <v>240</v>
      </c>
    </row>
    <row r="8" spans="1:11" s="80" customFormat="1">
      <c r="A8" s="82" t="s">
        <v>404</v>
      </c>
      <c r="B8" s="302" t="s">
        <v>249</v>
      </c>
      <c r="C8" s="6">
        <v>3</v>
      </c>
      <c r="D8" s="10" t="s">
        <v>130</v>
      </c>
      <c r="E8" s="6" t="s">
        <v>58</v>
      </c>
      <c r="F8" s="6">
        <v>0</v>
      </c>
      <c r="G8" s="6"/>
      <c r="H8" s="6"/>
      <c r="I8" s="6">
        <f t="shared" ref="I8:I19" si="1">F8+G8-H8</f>
        <v>0</v>
      </c>
      <c r="J8" s="29">
        <v>30</v>
      </c>
      <c r="K8" s="100">
        <f t="shared" si="0"/>
        <v>0</v>
      </c>
    </row>
    <row r="9" spans="1:11" s="80" customFormat="1">
      <c r="A9" s="82" t="s">
        <v>395</v>
      </c>
      <c r="B9" s="302" t="s">
        <v>250</v>
      </c>
      <c r="C9" s="6">
        <v>4</v>
      </c>
      <c r="D9" s="10" t="s">
        <v>133</v>
      </c>
      <c r="E9" s="6" t="s">
        <v>58</v>
      </c>
      <c r="F9" s="6">
        <v>7449</v>
      </c>
      <c r="G9" s="6"/>
      <c r="H9" s="6"/>
      <c r="I9" s="6">
        <v>9547</v>
      </c>
      <c r="J9" s="29">
        <v>6.5</v>
      </c>
      <c r="K9" s="100">
        <f t="shared" si="0"/>
        <v>62055.5</v>
      </c>
    </row>
    <row r="10" spans="1:11" s="80" customFormat="1">
      <c r="A10" s="82" t="s">
        <v>396</v>
      </c>
      <c r="B10" s="302" t="s">
        <v>251</v>
      </c>
      <c r="C10" s="6">
        <v>5</v>
      </c>
      <c r="D10" s="10" t="s">
        <v>134</v>
      </c>
      <c r="E10" s="6" t="s">
        <v>58</v>
      </c>
      <c r="F10" s="6">
        <v>7400</v>
      </c>
      <c r="G10" s="6"/>
      <c r="H10" s="6">
        <f>1500+1400+5</f>
        <v>2905</v>
      </c>
      <c r="I10" s="6">
        <v>5159</v>
      </c>
      <c r="J10" s="29">
        <v>6</v>
      </c>
      <c r="K10" s="100">
        <f t="shared" si="0"/>
        <v>30954</v>
      </c>
    </row>
    <row r="11" spans="1:11" s="80" customFormat="1">
      <c r="A11" s="82" t="s">
        <v>397</v>
      </c>
      <c r="B11" s="302" t="s">
        <v>252</v>
      </c>
      <c r="C11" s="6">
        <v>6</v>
      </c>
      <c r="D11" s="10" t="s">
        <v>1201</v>
      </c>
      <c r="E11" s="6" t="s">
        <v>58</v>
      </c>
      <c r="F11" s="6">
        <v>275</v>
      </c>
      <c r="G11" s="6"/>
      <c r="H11" s="6">
        <f>3+5</f>
        <v>8</v>
      </c>
      <c r="I11" s="6">
        <v>0</v>
      </c>
      <c r="J11" s="29">
        <v>1.85</v>
      </c>
      <c r="K11" s="100">
        <f t="shared" si="0"/>
        <v>0</v>
      </c>
    </row>
    <row r="12" spans="1:11" s="80" customFormat="1">
      <c r="A12" s="82" t="s">
        <v>398</v>
      </c>
      <c r="B12" s="302" t="s">
        <v>253</v>
      </c>
      <c r="C12" s="6">
        <v>7</v>
      </c>
      <c r="D12" s="6" t="s">
        <v>60</v>
      </c>
      <c r="E12" s="6" t="s">
        <v>61</v>
      </c>
      <c r="F12" s="6">
        <v>0</v>
      </c>
      <c r="G12" s="6"/>
      <c r="H12" s="6"/>
      <c r="I12" s="6">
        <f t="shared" si="1"/>
        <v>0</v>
      </c>
      <c r="J12" s="29">
        <v>1</v>
      </c>
      <c r="K12" s="100">
        <f t="shared" si="0"/>
        <v>0</v>
      </c>
    </row>
    <row r="13" spans="1:11" s="80" customFormat="1">
      <c r="A13" s="82" t="s">
        <v>399</v>
      </c>
      <c r="B13" s="302" t="s">
        <v>254</v>
      </c>
      <c r="C13" s="6">
        <v>8</v>
      </c>
      <c r="D13" s="6" t="s">
        <v>62</v>
      </c>
      <c r="E13" s="6" t="s">
        <v>61</v>
      </c>
      <c r="F13" s="6">
        <v>0</v>
      </c>
      <c r="G13" s="6"/>
      <c r="H13" s="6"/>
      <c r="I13" s="6">
        <f t="shared" si="1"/>
        <v>0</v>
      </c>
      <c r="J13" s="29">
        <v>1.5</v>
      </c>
      <c r="K13" s="100">
        <f t="shared" si="0"/>
        <v>0</v>
      </c>
    </row>
    <row r="14" spans="1:11" s="80" customFormat="1">
      <c r="A14" s="82" t="s">
        <v>400</v>
      </c>
      <c r="B14" s="302" t="s">
        <v>255</v>
      </c>
      <c r="C14" s="6">
        <v>9</v>
      </c>
      <c r="D14" s="6" t="s">
        <v>63</v>
      </c>
      <c r="E14" s="6" t="s">
        <v>61</v>
      </c>
      <c r="F14" s="6">
        <v>0</v>
      </c>
      <c r="G14" s="6"/>
      <c r="H14" s="6"/>
      <c r="I14" s="6">
        <f t="shared" si="1"/>
        <v>0</v>
      </c>
      <c r="J14" s="29">
        <v>27</v>
      </c>
      <c r="K14" s="100">
        <f t="shared" si="0"/>
        <v>0</v>
      </c>
    </row>
    <row r="15" spans="1:11" s="80" customFormat="1">
      <c r="A15" s="82" t="s">
        <v>401</v>
      </c>
      <c r="B15" s="302" t="s">
        <v>256</v>
      </c>
      <c r="C15" s="6">
        <v>10</v>
      </c>
      <c r="D15" s="10" t="s">
        <v>129</v>
      </c>
      <c r="E15" s="6" t="s">
        <v>61</v>
      </c>
      <c r="F15" s="6">
        <v>0</v>
      </c>
      <c r="G15" s="6"/>
      <c r="H15" s="6"/>
      <c r="I15" s="6">
        <f t="shared" si="1"/>
        <v>0</v>
      </c>
      <c r="J15" s="10">
        <v>1000</v>
      </c>
      <c r="K15" s="100">
        <f t="shared" si="0"/>
        <v>0</v>
      </c>
    </row>
    <row r="16" spans="1:11" s="80" customFormat="1">
      <c r="A16" s="82" t="s">
        <v>402</v>
      </c>
      <c r="B16" s="302" t="s">
        <v>257</v>
      </c>
      <c r="C16" s="6">
        <v>11</v>
      </c>
      <c r="D16" s="6" t="s">
        <v>89</v>
      </c>
      <c r="E16" s="6" t="s">
        <v>90</v>
      </c>
      <c r="F16" s="6">
        <v>0</v>
      </c>
      <c r="G16" s="6"/>
      <c r="H16" s="6"/>
      <c r="I16" s="6">
        <f t="shared" si="1"/>
        <v>0</v>
      </c>
      <c r="J16" s="29">
        <v>45</v>
      </c>
      <c r="K16" s="100">
        <f t="shared" si="0"/>
        <v>0</v>
      </c>
    </row>
    <row r="17" spans="1:11" s="80" customFormat="1">
      <c r="A17" s="82" t="s">
        <v>403</v>
      </c>
      <c r="B17" s="302" t="s">
        <v>258</v>
      </c>
      <c r="C17" s="6">
        <v>12</v>
      </c>
      <c r="D17" s="6" t="s">
        <v>91</v>
      </c>
      <c r="E17" s="6" t="s">
        <v>90</v>
      </c>
      <c r="F17" s="6">
        <v>30</v>
      </c>
      <c r="G17" s="6"/>
      <c r="H17" s="6"/>
      <c r="I17" s="6">
        <f t="shared" si="1"/>
        <v>30</v>
      </c>
      <c r="J17" s="29">
        <v>45</v>
      </c>
      <c r="K17" s="100">
        <f t="shared" si="0"/>
        <v>1350</v>
      </c>
    </row>
    <row r="18" spans="1:11" s="80" customFormat="1">
      <c r="A18" s="82" t="s">
        <v>631</v>
      </c>
      <c r="B18" s="302" t="s">
        <v>872</v>
      </c>
      <c r="C18" s="6">
        <v>13</v>
      </c>
      <c r="D18" s="147" t="s">
        <v>1333</v>
      </c>
      <c r="E18" s="6" t="s">
        <v>58</v>
      </c>
      <c r="F18" s="6">
        <v>1315</v>
      </c>
      <c r="G18" s="10">
        <f>3000+2980+15000</f>
        <v>20980</v>
      </c>
      <c r="H18" s="6">
        <f>5+3000+2975+9000+5+4+20</f>
        <v>15009</v>
      </c>
      <c r="I18" s="6">
        <v>6669</v>
      </c>
      <c r="J18" s="148">
        <v>4.3499999999999996</v>
      </c>
      <c r="K18" s="100">
        <f t="shared" ref="K18" si="2">I18*J18</f>
        <v>29010.149999999998</v>
      </c>
    </row>
    <row r="19" spans="1:11" s="80" customFormat="1">
      <c r="A19" s="82" t="s">
        <v>874</v>
      </c>
      <c r="B19" s="302" t="s">
        <v>873</v>
      </c>
      <c r="C19" s="6">
        <v>14</v>
      </c>
      <c r="D19" s="147" t="s">
        <v>871</v>
      </c>
      <c r="E19" s="6" t="s">
        <v>58</v>
      </c>
      <c r="F19" s="6">
        <v>0</v>
      </c>
      <c r="G19" s="6"/>
      <c r="H19" s="6"/>
      <c r="I19" s="6">
        <f t="shared" si="1"/>
        <v>0</v>
      </c>
      <c r="J19" s="29">
        <v>5</v>
      </c>
      <c r="K19" s="100">
        <f t="shared" si="0"/>
        <v>0</v>
      </c>
    </row>
    <row r="20" spans="1:11" s="80" customFormat="1">
      <c r="A20" s="81"/>
      <c r="B20" s="302" t="s">
        <v>985</v>
      </c>
      <c r="C20" s="6">
        <v>20</v>
      </c>
      <c r="D20" s="147" t="s">
        <v>1202</v>
      </c>
      <c r="E20" s="10" t="s">
        <v>58</v>
      </c>
      <c r="F20" s="6">
        <v>52</v>
      </c>
      <c r="G20" s="6">
        <v>3000</v>
      </c>
      <c r="H20" s="6"/>
      <c r="I20" s="6">
        <v>280</v>
      </c>
      <c r="J20" s="148">
        <v>1.4</v>
      </c>
      <c r="K20" s="100">
        <f>I20*J20</f>
        <v>392</v>
      </c>
    </row>
    <row r="21" spans="1:11" s="80" customFormat="1">
      <c r="A21" s="82" t="s">
        <v>990</v>
      </c>
      <c r="B21" s="302" t="s">
        <v>986</v>
      </c>
      <c r="C21" s="6">
        <v>16</v>
      </c>
      <c r="D21" s="147" t="s">
        <v>2209</v>
      </c>
      <c r="E21" s="6" t="s">
        <v>58</v>
      </c>
      <c r="F21" s="6">
        <f>6000+2800</f>
        <v>8800</v>
      </c>
      <c r="G21" s="6"/>
      <c r="H21" s="6"/>
      <c r="I21" s="6">
        <v>8800</v>
      </c>
      <c r="J21" s="148">
        <v>1.65</v>
      </c>
      <c r="K21" s="100">
        <f t="shared" si="0"/>
        <v>14520</v>
      </c>
    </row>
    <row r="22" spans="1:11" s="80" customFormat="1">
      <c r="A22" s="255" t="s">
        <v>991</v>
      </c>
      <c r="B22" s="302" t="s">
        <v>987</v>
      </c>
      <c r="C22" s="205">
        <v>17</v>
      </c>
      <c r="D22" s="256" t="s">
        <v>988</v>
      </c>
      <c r="E22" s="205" t="s">
        <v>58</v>
      </c>
      <c r="F22" s="205">
        <v>9000</v>
      </c>
      <c r="G22" s="205"/>
      <c r="H22" s="205"/>
      <c r="I22" s="6">
        <v>9000</v>
      </c>
      <c r="J22" s="257">
        <v>1.65</v>
      </c>
      <c r="K22" s="100">
        <f t="shared" si="0"/>
        <v>14850</v>
      </c>
    </row>
    <row r="23" spans="1:11" s="80" customFormat="1">
      <c r="A23" s="303"/>
      <c r="B23" s="302" t="s">
        <v>1308</v>
      </c>
      <c r="C23" s="159">
        <v>18</v>
      </c>
      <c r="D23" s="159" t="s">
        <v>2210</v>
      </c>
      <c r="E23" s="159" t="s">
        <v>58</v>
      </c>
      <c r="F23" s="205">
        <v>0</v>
      </c>
      <c r="G23" s="205">
        <v>0</v>
      </c>
      <c r="H23" s="205">
        <v>0</v>
      </c>
      <c r="I23" s="6">
        <v>0</v>
      </c>
      <c r="J23" s="257">
        <v>0</v>
      </c>
      <c r="K23" s="100">
        <v>0</v>
      </c>
    </row>
    <row r="24" spans="1:11" s="80" customFormat="1">
      <c r="A24" s="303"/>
      <c r="B24" s="302" t="s">
        <v>1309</v>
      </c>
      <c r="C24" s="6">
        <v>19</v>
      </c>
      <c r="D24" s="242" t="s">
        <v>1200</v>
      </c>
      <c r="E24" s="159" t="s">
        <v>58</v>
      </c>
      <c r="F24" s="205">
        <v>0</v>
      </c>
      <c r="G24" s="205">
        <v>0</v>
      </c>
      <c r="H24" s="205">
        <v>0</v>
      </c>
      <c r="I24" s="6">
        <v>0</v>
      </c>
      <c r="J24" s="257">
        <v>0</v>
      </c>
      <c r="K24" s="100">
        <v>0</v>
      </c>
    </row>
    <row r="25" spans="1:11" s="80" customFormat="1">
      <c r="A25" s="303"/>
      <c r="B25" s="302" t="s">
        <v>1310</v>
      </c>
      <c r="C25" s="6">
        <v>20</v>
      </c>
      <c r="D25" s="242" t="s">
        <v>1199</v>
      </c>
      <c r="E25" s="10" t="s">
        <v>58</v>
      </c>
      <c r="F25" s="6">
        <v>2000</v>
      </c>
      <c r="G25" s="6"/>
      <c r="H25" s="6">
        <v>104</v>
      </c>
      <c r="I25" s="6">
        <v>1800</v>
      </c>
      <c r="J25" s="148">
        <v>1.85</v>
      </c>
      <c r="K25" s="100">
        <f t="shared" ref="K25" si="3">I25*J25</f>
        <v>3330</v>
      </c>
    </row>
    <row r="26" spans="1:11" s="80" customFormat="1">
      <c r="A26" s="303"/>
      <c r="B26" s="302" t="s">
        <v>1311</v>
      </c>
      <c r="C26" s="6">
        <v>21</v>
      </c>
      <c r="D26" s="242" t="s">
        <v>2211</v>
      </c>
      <c r="E26" s="301" t="s">
        <v>58</v>
      </c>
      <c r="F26" s="6">
        <v>745</v>
      </c>
      <c r="G26" s="205">
        <v>15000</v>
      </c>
      <c r="H26" s="205">
        <v>12043</v>
      </c>
      <c r="I26" s="6">
        <v>498805</v>
      </c>
      <c r="J26" s="257">
        <v>1.61</v>
      </c>
      <c r="K26" s="100">
        <f>J26*I26</f>
        <v>803076.05</v>
      </c>
    </row>
    <row r="27" spans="1:11" s="80" customFormat="1">
      <c r="A27" s="303"/>
      <c r="B27" s="302" t="s">
        <v>1883</v>
      </c>
      <c r="C27" s="208">
        <v>22</v>
      </c>
      <c r="D27" s="304" t="s">
        <v>2212</v>
      </c>
      <c r="E27" s="6" t="s">
        <v>58</v>
      </c>
      <c r="F27" s="6">
        <v>2000</v>
      </c>
      <c r="G27" s="205">
        <v>110</v>
      </c>
      <c r="H27" s="205">
        <v>0</v>
      </c>
      <c r="I27" s="6">
        <v>2000</v>
      </c>
      <c r="J27" s="257">
        <v>0</v>
      </c>
      <c r="K27" s="100">
        <v>0</v>
      </c>
    </row>
    <row r="28" spans="1:11" s="80" customFormat="1">
      <c r="A28" s="82" t="s">
        <v>989</v>
      </c>
      <c r="B28" s="302" t="s">
        <v>1884</v>
      </c>
      <c r="C28" s="6">
        <v>23</v>
      </c>
      <c r="D28" s="147" t="s">
        <v>1200</v>
      </c>
      <c r="E28" s="6" t="s">
        <v>58</v>
      </c>
      <c r="F28" s="6">
        <v>85</v>
      </c>
      <c r="G28" s="6"/>
      <c r="H28" s="6">
        <f>10+75</f>
        <v>85</v>
      </c>
      <c r="I28" s="6">
        <v>3400</v>
      </c>
      <c r="J28" s="10">
        <v>1.85</v>
      </c>
      <c r="K28" s="100">
        <f>I28*J28</f>
        <v>6290</v>
      </c>
    </row>
    <row r="29" spans="1:11" s="80" customFormat="1">
      <c r="A29" s="81"/>
      <c r="B29" s="302" t="s">
        <v>2213</v>
      </c>
      <c r="C29" s="6">
        <v>24</v>
      </c>
      <c r="D29" s="147" t="s">
        <v>1885</v>
      </c>
      <c r="E29" s="10" t="s">
        <v>58</v>
      </c>
      <c r="F29" s="6"/>
      <c r="G29" s="6"/>
      <c r="H29" s="6"/>
      <c r="I29" s="6">
        <v>1200</v>
      </c>
      <c r="J29" s="148">
        <v>2.6</v>
      </c>
      <c r="K29" s="100">
        <f t="shared" si="0"/>
        <v>3120</v>
      </c>
    </row>
    <row r="30" spans="1:11" s="80" customFormat="1">
      <c r="A30" s="81"/>
      <c r="B30" s="146"/>
      <c r="C30" s="6"/>
      <c r="D30" s="147"/>
      <c r="E30" s="6"/>
      <c r="F30" s="6"/>
      <c r="G30" s="6"/>
      <c r="H30" s="6"/>
      <c r="I30" s="6"/>
      <c r="J30" s="116" t="s">
        <v>146</v>
      </c>
      <c r="K30" s="116">
        <f>SUM(K6:K29)</f>
        <v>997867.70000000007</v>
      </c>
    </row>
    <row r="31" spans="1:11">
      <c r="A31" s="14"/>
      <c r="B31" s="97"/>
      <c r="C31" s="44"/>
      <c r="D31" s="145"/>
      <c r="E31" s="44"/>
      <c r="F31" s="44"/>
      <c r="G31" s="44"/>
      <c r="H31" s="44"/>
      <c r="I31" s="44"/>
    </row>
    <row r="32" spans="1:11">
      <c r="A32" s="14"/>
      <c r="B32" s="97"/>
      <c r="C32" s="44"/>
      <c r="D32" s="145"/>
      <c r="E32" s="44"/>
      <c r="F32" s="44"/>
      <c r="G32" s="44"/>
      <c r="H32" s="44"/>
      <c r="I32" s="44"/>
    </row>
    <row r="35" spans="4:4">
      <c r="D35" s="131"/>
    </row>
  </sheetData>
  <mergeCells count="1">
    <mergeCell ref="A3:K3"/>
  </mergeCells>
  <pageMargins left="0.7" right="0.7" top="0.75" bottom="0.75" header="0.3" footer="0.3"/>
  <pageSetup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K98"/>
  <sheetViews>
    <sheetView topLeftCell="A83" workbookViewId="0">
      <selection activeCell="D87" sqref="D87"/>
    </sheetView>
  </sheetViews>
  <sheetFormatPr defaultRowHeight="15"/>
  <cols>
    <col min="1" max="1" width="19.7109375" bestFit="1" customWidth="1"/>
    <col min="2" max="2" width="13.85546875" bestFit="1" customWidth="1"/>
    <col min="3" max="3" width="5.7109375" bestFit="1" customWidth="1"/>
    <col min="4" max="4" width="62.85546875" bestFit="1" customWidth="1"/>
    <col min="5" max="5" width="12.7109375" bestFit="1" customWidth="1"/>
    <col min="6" max="6" width="8.5703125" bestFit="1" customWidth="1"/>
    <col min="7" max="8" width="8.5703125" customWidth="1"/>
    <col min="9" max="9" width="9.140625" bestFit="1" customWidth="1"/>
    <col min="10" max="10" width="10.85546875" bestFit="1" customWidth="1"/>
    <col min="11" max="11" width="10.5703125" bestFit="1" customWidth="1"/>
    <col min="12" max="12" width="11.140625" customWidth="1"/>
  </cols>
  <sheetData>
    <row r="1" spans="1:11" ht="15.75" thickBot="1"/>
    <row r="2" spans="1:11" ht="15.75" thickBot="1">
      <c r="A2" s="321" t="s">
        <v>614</v>
      </c>
      <c r="B2" s="322"/>
      <c r="C2" s="322"/>
      <c r="D2" s="322"/>
      <c r="E2" s="322"/>
      <c r="F2" s="322"/>
      <c r="G2" s="322"/>
      <c r="H2" s="322"/>
      <c r="I2" s="322"/>
      <c r="J2" s="322"/>
      <c r="K2" s="323"/>
    </row>
    <row r="3" spans="1:11" ht="15.75" thickBot="1"/>
    <row r="4" spans="1:11">
      <c r="A4" s="237" t="s">
        <v>349</v>
      </c>
      <c r="B4" s="238" t="s">
        <v>150</v>
      </c>
      <c r="C4" s="239" t="s">
        <v>0</v>
      </c>
      <c r="D4" s="239" t="s">
        <v>1</v>
      </c>
      <c r="E4" s="239" t="s">
        <v>2</v>
      </c>
      <c r="F4" s="239" t="s">
        <v>3</v>
      </c>
      <c r="G4" s="239" t="s">
        <v>1298</v>
      </c>
      <c r="H4" s="239" t="s">
        <v>1297</v>
      </c>
      <c r="I4" s="239" t="s">
        <v>1296</v>
      </c>
      <c r="J4" s="240" t="s">
        <v>131</v>
      </c>
      <c r="K4" s="241" t="s">
        <v>136</v>
      </c>
    </row>
    <row r="5" spans="1:11">
      <c r="A5" s="82" t="s">
        <v>509</v>
      </c>
      <c r="B5" s="81" t="s">
        <v>295</v>
      </c>
      <c r="C5" s="6">
        <v>1</v>
      </c>
      <c r="D5" s="6" t="s">
        <v>41</v>
      </c>
      <c r="E5" s="6" t="s">
        <v>87</v>
      </c>
      <c r="F5" s="6"/>
      <c r="G5" s="6"/>
      <c r="H5" s="6"/>
      <c r="I5" s="6">
        <f>F5+G5-H5</f>
        <v>0</v>
      </c>
      <c r="J5" s="29">
        <v>9</v>
      </c>
      <c r="K5" s="100">
        <f>I5*J5</f>
        <v>0</v>
      </c>
    </row>
    <row r="6" spans="1:11">
      <c r="A6" s="82" t="s">
        <v>510</v>
      </c>
      <c r="B6" s="81" t="s">
        <v>296</v>
      </c>
      <c r="C6" s="6">
        <v>2</v>
      </c>
      <c r="D6" s="242" t="s">
        <v>88</v>
      </c>
      <c r="E6" s="6" t="s">
        <v>87</v>
      </c>
      <c r="F6" s="242"/>
      <c r="G6" s="242"/>
      <c r="H6" s="242"/>
      <c r="I6" s="6">
        <f t="shared" ref="I6:I69" si="0">F6+G6-H6</f>
        <v>0</v>
      </c>
      <c r="J6" s="29">
        <v>6.5</v>
      </c>
      <c r="K6" s="100">
        <f t="shared" ref="K6:K8" si="1">I6*J6</f>
        <v>0</v>
      </c>
    </row>
    <row r="7" spans="1:11">
      <c r="A7" s="82" t="s">
        <v>511</v>
      </c>
      <c r="B7" s="81" t="s">
        <v>297</v>
      </c>
      <c r="C7" s="6">
        <v>3</v>
      </c>
      <c r="D7" s="6" t="s">
        <v>64</v>
      </c>
      <c r="E7" s="6" t="s">
        <v>65</v>
      </c>
      <c r="F7" s="6"/>
      <c r="G7" s="6"/>
      <c r="H7" s="6"/>
      <c r="I7" s="6">
        <f t="shared" si="0"/>
        <v>0</v>
      </c>
      <c r="J7" s="29">
        <v>15</v>
      </c>
      <c r="K7" s="100">
        <f t="shared" si="1"/>
        <v>0</v>
      </c>
    </row>
    <row r="8" spans="1:11">
      <c r="A8" s="82" t="s">
        <v>512</v>
      </c>
      <c r="B8" s="81" t="s">
        <v>298</v>
      </c>
      <c r="C8" s="6">
        <v>4</v>
      </c>
      <c r="D8" s="6" t="s">
        <v>66</v>
      </c>
      <c r="E8" s="6" t="s">
        <v>65</v>
      </c>
      <c r="F8" s="6"/>
      <c r="G8" s="6"/>
      <c r="H8" s="6"/>
      <c r="I8" s="6">
        <f t="shared" si="0"/>
        <v>0</v>
      </c>
      <c r="J8" s="29">
        <v>15</v>
      </c>
      <c r="K8" s="100">
        <f t="shared" si="1"/>
        <v>0</v>
      </c>
    </row>
    <row r="9" spans="1:11">
      <c r="A9" s="82" t="s">
        <v>513</v>
      </c>
      <c r="B9" s="81" t="s">
        <v>299</v>
      </c>
      <c r="C9" s="6">
        <v>5</v>
      </c>
      <c r="D9" s="6" t="s">
        <v>67</v>
      </c>
      <c r="E9" s="6" t="s">
        <v>65</v>
      </c>
      <c r="F9" s="6"/>
      <c r="G9" s="6"/>
      <c r="H9" s="6"/>
      <c r="I9" s="6">
        <v>8000</v>
      </c>
      <c r="J9" s="29">
        <v>6</v>
      </c>
      <c r="K9" s="100">
        <f>I9*J9</f>
        <v>48000</v>
      </c>
    </row>
    <row r="10" spans="1:11">
      <c r="A10" s="82" t="s">
        <v>514</v>
      </c>
      <c r="B10" s="81" t="s">
        <v>300</v>
      </c>
      <c r="C10" s="6">
        <v>6</v>
      </c>
      <c r="D10" s="6" t="s">
        <v>68</v>
      </c>
      <c r="E10" s="6" t="s">
        <v>65</v>
      </c>
      <c r="F10" s="6"/>
      <c r="G10" s="6"/>
      <c r="H10" s="6"/>
      <c r="I10" s="6">
        <f t="shared" si="0"/>
        <v>0</v>
      </c>
      <c r="J10" s="29">
        <v>6</v>
      </c>
      <c r="K10" s="100">
        <f t="shared" ref="K10:K46" si="2">I10*J10</f>
        <v>0</v>
      </c>
    </row>
    <row r="11" spans="1:11">
      <c r="A11" s="82" t="s">
        <v>515</v>
      </c>
      <c r="B11" s="81" t="s">
        <v>301</v>
      </c>
      <c r="C11" s="6">
        <v>7</v>
      </c>
      <c r="D11" s="243" t="s">
        <v>69</v>
      </c>
      <c r="E11" s="6" t="s">
        <v>65</v>
      </c>
      <c r="F11" s="6"/>
      <c r="G11" s="6"/>
      <c r="H11" s="6"/>
      <c r="I11" s="6">
        <f t="shared" si="0"/>
        <v>0</v>
      </c>
      <c r="J11" s="29">
        <v>410</v>
      </c>
      <c r="K11" s="100">
        <f t="shared" si="2"/>
        <v>0</v>
      </c>
    </row>
    <row r="12" spans="1:11">
      <c r="A12" s="82" t="s">
        <v>516</v>
      </c>
      <c r="B12" s="81" t="s">
        <v>302</v>
      </c>
      <c r="C12" s="6">
        <v>8</v>
      </c>
      <c r="D12" s="6" t="s">
        <v>70</v>
      </c>
      <c r="E12" s="6" t="s">
        <v>65</v>
      </c>
      <c r="F12" s="6"/>
      <c r="G12" s="6"/>
      <c r="H12" s="6"/>
      <c r="I12" s="6">
        <f t="shared" si="0"/>
        <v>0</v>
      </c>
      <c r="J12" s="29">
        <v>6</v>
      </c>
      <c r="K12" s="100">
        <f t="shared" si="2"/>
        <v>0</v>
      </c>
    </row>
    <row r="13" spans="1:11">
      <c r="A13" s="82" t="s">
        <v>517</v>
      </c>
      <c r="B13" s="81" t="s">
        <v>303</v>
      </c>
      <c r="C13" s="6">
        <v>9</v>
      </c>
      <c r="D13" s="6" t="s">
        <v>71</v>
      </c>
      <c r="E13" s="6" t="s">
        <v>65</v>
      </c>
      <c r="F13" s="6"/>
      <c r="G13" s="6"/>
      <c r="H13" s="6"/>
      <c r="I13" s="6">
        <f t="shared" si="0"/>
        <v>0</v>
      </c>
      <c r="J13" s="29">
        <v>6</v>
      </c>
      <c r="K13" s="100">
        <f t="shared" si="2"/>
        <v>0</v>
      </c>
    </row>
    <row r="14" spans="1:11">
      <c r="A14" s="82" t="s">
        <v>518</v>
      </c>
      <c r="B14" s="81" t="s">
        <v>304</v>
      </c>
      <c r="C14" s="6">
        <v>10</v>
      </c>
      <c r="D14" s="10" t="s">
        <v>132</v>
      </c>
      <c r="E14" s="6" t="s">
        <v>65</v>
      </c>
      <c r="F14" s="6"/>
      <c r="G14" s="6"/>
      <c r="H14" s="6"/>
      <c r="I14" s="6">
        <v>6958</v>
      </c>
      <c r="J14" s="29">
        <v>400</v>
      </c>
      <c r="K14" s="100">
        <f t="shared" si="2"/>
        <v>2783200</v>
      </c>
    </row>
    <row r="15" spans="1:11">
      <c r="A15" s="82" t="s">
        <v>519</v>
      </c>
      <c r="B15" s="81" t="s">
        <v>305</v>
      </c>
      <c r="C15" s="6">
        <v>11</v>
      </c>
      <c r="D15" s="6" t="s">
        <v>72</v>
      </c>
      <c r="E15" s="6" t="s">
        <v>65</v>
      </c>
      <c r="F15" s="6"/>
      <c r="G15" s="6"/>
      <c r="H15" s="6"/>
      <c r="I15" s="6">
        <f t="shared" si="0"/>
        <v>0</v>
      </c>
      <c r="J15" s="29">
        <v>360</v>
      </c>
      <c r="K15" s="100">
        <f t="shared" si="2"/>
        <v>0</v>
      </c>
    </row>
    <row r="16" spans="1:11">
      <c r="A16" s="82" t="s">
        <v>520</v>
      </c>
      <c r="B16" s="81" t="s">
        <v>306</v>
      </c>
      <c r="C16" s="6">
        <v>12</v>
      </c>
      <c r="D16" s="10" t="s">
        <v>135</v>
      </c>
      <c r="E16" s="6" t="s">
        <v>65</v>
      </c>
      <c r="F16" s="6"/>
      <c r="G16" s="6"/>
      <c r="H16" s="6"/>
      <c r="I16" s="6">
        <f t="shared" si="0"/>
        <v>0</v>
      </c>
      <c r="J16" s="29">
        <v>20</v>
      </c>
      <c r="K16" s="100">
        <f t="shared" si="2"/>
        <v>0</v>
      </c>
    </row>
    <row r="17" spans="1:11">
      <c r="A17" s="82" t="s">
        <v>521</v>
      </c>
      <c r="B17" s="81" t="s">
        <v>307</v>
      </c>
      <c r="C17" s="6">
        <v>13</v>
      </c>
      <c r="D17" s="6" t="s">
        <v>73</v>
      </c>
      <c r="E17" s="6" t="s">
        <v>65</v>
      </c>
      <c r="F17" s="6"/>
      <c r="G17" s="6"/>
      <c r="H17" s="6"/>
      <c r="I17" s="6">
        <f t="shared" si="0"/>
        <v>0</v>
      </c>
      <c r="J17" s="29">
        <v>20</v>
      </c>
      <c r="K17" s="100">
        <f t="shared" si="2"/>
        <v>0</v>
      </c>
    </row>
    <row r="18" spans="1:11">
      <c r="A18" s="82" t="s">
        <v>522</v>
      </c>
      <c r="B18" s="81" t="s">
        <v>308</v>
      </c>
      <c r="C18" s="6">
        <v>14</v>
      </c>
      <c r="D18" s="6" t="s">
        <v>74</v>
      </c>
      <c r="E18" s="6" t="s">
        <v>65</v>
      </c>
      <c r="F18" s="6">
        <f>76+39</f>
        <v>115</v>
      </c>
      <c r="G18" s="6"/>
      <c r="H18" s="6">
        <f>1+1</f>
        <v>2</v>
      </c>
      <c r="I18" s="6">
        <f t="shared" si="0"/>
        <v>113</v>
      </c>
      <c r="J18" s="29">
        <v>230</v>
      </c>
      <c r="K18" s="100">
        <f t="shared" si="2"/>
        <v>25990</v>
      </c>
    </row>
    <row r="19" spans="1:11">
      <c r="A19" s="82" t="s">
        <v>523</v>
      </c>
      <c r="B19" s="81" t="s">
        <v>309</v>
      </c>
      <c r="C19" s="6">
        <v>15</v>
      </c>
      <c r="D19" s="6" t="s">
        <v>75</v>
      </c>
      <c r="E19" s="6" t="s">
        <v>65</v>
      </c>
      <c r="F19" s="6">
        <v>24</v>
      </c>
      <c r="G19" s="6"/>
      <c r="H19" s="6"/>
      <c r="I19" s="6">
        <f t="shared" si="0"/>
        <v>24</v>
      </c>
      <c r="J19" s="29">
        <v>340</v>
      </c>
      <c r="K19" s="100">
        <f t="shared" si="2"/>
        <v>8160</v>
      </c>
    </row>
    <row r="20" spans="1:11">
      <c r="A20" s="82" t="s">
        <v>524</v>
      </c>
      <c r="B20" s="81" t="s">
        <v>310</v>
      </c>
      <c r="C20" s="6">
        <v>16</v>
      </c>
      <c r="D20" s="6" t="s">
        <v>76</v>
      </c>
      <c r="E20" s="6" t="s">
        <v>65</v>
      </c>
      <c r="F20" s="6">
        <v>5</v>
      </c>
      <c r="G20" s="6"/>
      <c r="H20" s="6"/>
      <c r="I20" s="6">
        <f t="shared" si="0"/>
        <v>5</v>
      </c>
      <c r="J20" s="29">
        <v>410</v>
      </c>
      <c r="K20" s="100">
        <f t="shared" si="2"/>
        <v>2050</v>
      </c>
    </row>
    <row r="21" spans="1:11">
      <c r="A21" s="82" t="s">
        <v>525</v>
      </c>
      <c r="B21" s="81" t="s">
        <v>311</v>
      </c>
      <c r="C21" s="6">
        <v>17</v>
      </c>
      <c r="D21" s="10" t="s">
        <v>142</v>
      </c>
      <c r="E21" s="6" t="s">
        <v>65</v>
      </c>
      <c r="F21" s="6">
        <v>475</v>
      </c>
      <c r="G21" s="6"/>
      <c r="H21" s="6">
        <f>30+6</f>
        <v>36</v>
      </c>
      <c r="I21" s="6">
        <f t="shared" si="0"/>
        <v>439</v>
      </c>
      <c r="J21" s="29">
        <v>10</v>
      </c>
      <c r="K21" s="100">
        <f t="shared" si="2"/>
        <v>4390</v>
      </c>
    </row>
    <row r="22" spans="1:11">
      <c r="A22" s="82" t="s">
        <v>526</v>
      </c>
      <c r="B22" s="81" t="s">
        <v>312</v>
      </c>
      <c r="C22" s="6">
        <v>18</v>
      </c>
      <c r="D22" s="10" t="s">
        <v>601</v>
      </c>
      <c r="E22" s="6" t="s">
        <v>65</v>
      </c>
      <c r="F22" s="6">
        <v>166</v>
      </c>
      <c r="G22" s="6"/>
      <c r="H22" s="6">
        <f>30+3+2+1+1+1+1</f>
        <v>39</v>
      </c>
      <c r="I22" s="6">
        <f t="shared" si="0"/>
        <v>127</v>
      </c>
      <c r="J22" s="29">
        <v>10</v>
      </c>
      <c r="K22" s="100">
        <f t="shared" si="2"/>
        <v>1270</v>
      </c>
    </row>
    <row r="23" spans="1:11">
      <c r="A23" s="82" t="s">
        <v>527</v>
      </c>
      <c r="B23" s="81" t="s">
        <v>313</v>
      </c>
      <c r="C23" s="6">
        <v>19</v>
      </c>
      <c r="D23" s="10" t="s">
        <v>602</v>
      </c>
      <c r="E23" s="6" t="s">
        <v>65</v>
      </c>
      <c r="F23" s="6"/>
      <c r="G23" s="6"/>
      <c r="H23" s="6"/>
      <c r="I23" s="6">
        <f t="shared" si="0"/>
        <v>0</v>
      </c>
      <c r="J23" s="29">
        <v>10</v>
      </c>
      <c r="K23" s="100">
        <f t="shared" si="2"/>
        <v>0</v>
      </c>
    </row>
    <row r="24" spans="1:11">
      <c r="A24" s="82" t="s">
        <v>528</v>
      </c>
      <c r="B24" s="81" t="s">
        <v>314</v>
      </c>
      <c r="C24" s="6">
        <v>20</v>
      </c>
      <c r="D24" s="10" t="s">
        <v>603</v>
      </c>
      <c r="E24" s="6" t="s">
        <v>65</v>
      </c>
      <c r="F24" s="6"/>
      <c r="G24" s="6"/>
      <c r="H24" s="6"/>
      <c r="I24" s="6">
        <f t="shared" si="0"/>
        <v>0</v>
      </c>
      <c r="J24" s="29">
        <v>165</v>
      </c>
      <c r="K24" s="100">
        <f t="shared" si="2"/>
        <v>0</v>
      </c>
    </row>
    <row r="25" spans="1:11">
      <c r="A25" s="82" t="s">
        <v>529</v>
      </c>
      <c r="B25" s="81" t="s">
        <v>315</v>
      </c>
      <c r="C25" s="6">
        <v>21</v>
      </c>
      <c r="D25" s="10" t="s">
        <v>539</v>
      </c>
      <c r="E25" s="6" t="s">
        <v>65</v>
      </c>
      <c r="F25" s="6"/>
      <c r="G25" s="6"/>
      <c r="H25" s="6"/>
      <c r="I25" s="6">
        <f t="shared" si="0"/>
        <v>0</v>
      </c>
      <c r="J25" s="29">
        <v>3</v>
      </c>
      <c r="K25" s="100">
        <f t="shared" si="2"/>
        <v>0</v>
      </c>
    </row>
    <row r="26" spans="1:11">
      <c r="A26" s="82" t="s">
        <v>530</v>
      </c>
      <c r="B26" s="81" t="s">
        <v>316</v>
      </c>
      <c r="C26" s="6">
        <v>22</v>
      </c>
      <c r="D26" s="10" t="s">
        <v>143</v>
      </c>
      <c r="E26" s="6" t="s">
        <v>65</v>
      </c>
      <c r="F26" s="6">
        <v>35</v>
      </c>
      <c r="G26" s="6"/>
      <c r="H26" s="6"/>
      <c r="I26" s="6">
        <f t="shared" si="0"/>
        <v>35</v>
      </c>
      <c r="J26" s="29">
        <v>5</v>
      </c>
      <c r="K26" s="100">
        <f t="shared" si="2"/>
        <v>175</v>
      </c>
    </row>
    <row r="27" spans="1:11">
      <c r="A27" s="82" t="s">
        <v>531</v>
      </c>
      <c r="B27" s="81" t="s">
        <v>317</v>
      </c>
      <c r="C27" s="6">
        <v>23</v>
      </c>
      <c r="D27" s="10" t="s">
        <v>144</v>
      </c>
      <c r="E27" s="6" t="s">
        <v>65</v>
      </c>
      <c r="F27" s="6"/>
      <c r="G27" s="6"/>
      <c r="H27" s="6"/>
      <c r="I27" s="6">
        <f t="shared" si="0"/>
        <v>0</v>
      </c>
      <c r="J27" s="29">
        <v>7</v>
      </c>
      <c r="K27" s="100">
        <f t="shared" si="2"/>
        <v>0</v>
      </c>
    </row>
    <row r="28" spans="1:11">
      <c r="A28" s="82" t="s">
        <v>532</v>
      </c>
      <c r="B28" s="81" t="s">
        <v>318</v>
      </c>
      <c r="C28" s="6">
        <v>24</v>
      </c>
      <c r="D28" s="10" t="s">
        <v>145</v>
      </c>
      <c r="E28" s="6" t="s">
        <v>65</v>
      </c>
      <c r="F28" s="6"/>
      <c r="G28" s="6"/>
      <c r="H28" s="6"/>
      <c r="I28" s="6">
        <f t="shared" si="0"/>
        <v>0</v>
      </c>
      <c r="J28" s="29">
        <v>10</v>
      </c>
      <c r="K28" s="100">
        <f t="shared" si="2"/>
        <v>0</v>
      </c>
    </row>
    <row r="29" spans="1:11">
      <c r="A29" s="82" t="s">
        <v>533</v>
      </c>
      <c r="B29" s="81" t="s">
        <v>319</v>
      </c>
      <c r="C29" s="6">
        <v>25</v>
      </c>
      <c r="D29" s="6" t="s">
        <v>77</v>
      </c>
      <c r="E29" s="6" t="s">
        <v>78</v>
      </c>
      <c r="F29" s="6"/>
      <c r="G29" s="6"/>
      <c r="H29" s="6"/>
      <c r="I29" s="6">
        <f t="shared" si="0"/>
        <v>0</v>
      </c>
      <c r="J29" s="29">
        <v>10</v>
      </c>
      <c r="K29" s="100">
        <f t="shared" si="2"/>
        <v>0</v>
      </c>
    </row>
    <row r="30" spans="1:11">
      <c r="A30" s="82" t="s">
        <v>534</v>
      </c>
      <c r="B30" s="81" t="s">
        <v>320</v>
      </c>
      <c r="C30" s="6">
        <v>26</v>
      </c>
      <c r="D30" s="6" t="s">
        <v>79</v>
      </c>
      <c r="E30" s="6" t="s">
        <v>78</v>
      </c>
      <c r="F30" s="6"/>
      <c r="G30" s="6"/>
      <c r="H30" s="6"/>
      <c r="I30" s="6">
        <f t="shared" si="0"/>
        <v>0</v>
      </c>
      <c r="J30" s="29">
        <v>10</v>
      </c>
      <c r="K30" s="100">
        <f t="shared" si="2"/>
        <v>0</v>
      </c>
    </row>
    <row r="31" spans="1:11">
      <c r="A31" s="82" t="s">
        <v>535</v>
      </c>
      <c r="B31" s="81" t="s">
        <v>321</v>
      </c>
      <c r="C31" s="6">
        <v>27</v>
      </c>
      <c r="D31" s="6" t="s">
        <v>80</v>
      </c>
      <c r="E31" s="6" t="s">
        <v>78</v>
      </c>
      <c r="F31" s="6">
        <v>14</v>
      </c>
      <c r="G31" s="6"/>
      <c r="H31" s="6"/>
      <c r="I31" s="6">
        <f t="shared" si="0"/>
        <v>14</v>
      </c>
      <c r="J31" s="29">
        <v>12</v>
      </c>
      <c r="K31" s="100">
        <f t="shared" si="2"/>
        <v>168</v>
      </c>
    </row>
    <row r="32" spans="1:11">
      <c r="A32" s="82" t="s">
        <v>536</v>
      </c>
      <c r="B32" s="81" t="s">
        <v>322</v>
      </c>
      <c r="C32" s="6">
        <v>28</v>
      </c>
      <c r="D32" s="6" t="s">
        <v>21</v>
      </c>
      <c r="E32" s="6" t="s">
        <v>22</v>
      </c>
      <c r="F32" s="6">
        <v>2160</v>
      </c>
      <c r="G32" s="6"/>
      <c r="H32" s="6"/>
      <c r="I32" s="6">
        <f t="shared" si="0"/>
        <v>2160</v>
      </c>
      <c r="J32" s="29">
        <v>5</v>
      </c>
      <c r="K32" s="100">
        <f t="shared" si="2"/>
        <v>10800</v>
      </c>
    </row>
    <row r="33" spans="1:11">
      <c r="A33" s="82" t="s">
        <v>537</v>
      </c>
      <c r="B33" s="81" t="s">
        <v>323</v>
      </c>
      <c r="C33" s="6">
        <v>29</v>
      </c>
      <c r="D33" s="6" t="s">
        <v>23</v>
      </c>
      <c r="E33" s="6" t="s">
        <v>22</v>
      </c>
      <c r="F33" s="6"/>
      <c r="G33" s="6"/>
      <c r="H33" s="6"/>
      <c r="I33" s="6">
        <f t="shared" si="0"/>
        <v>0</v>
      </c>
      <c r="J33" s="29">
        <v>5</v>
      </c>
      <c r="K33" s="100">
        <f t="shared" si="2"/>
        <v>0</v>
      </c>
    </row>
    <row r="34" spans="1:11">
      <c r="A34" s="82" t="s">
        <v>538</v>
      </c>
      <c r="B34" s="81" t="s">
        <v>324</v>
      </c>
      <c r="C34" s="6">
        <v>30</v>
      </c>
      <c r="D34" s="6" t="s">
        <v>24</v>
      </c>
      <c r="E34" s="6" t="s">
        <v>22</v>
      </c>
      <c r="F34" s="6"/>
      <c r="G34" s="6"/>
      <c r="H34" s="6"/>
      <c r="I34" s="6">
        <f t="shared" si="0"/>
        <v>0</v>
      </c>
      <c r="J34" s="29">
        <v>6</v>
      </c>
      <c r="K34" s="100">
        <f t="shared" si="2"/>
        <v>0</v>
      </c>
    </row>
    <row r="35" spans="1:11">
      <c r="A35" s="82" t="s">
        <v>597</v>
      </c>
      <c r="B35" s="81" t="s">
        <v>595</v>
      </c>
      <c r="C35" s="6">
        <v>31</v>
      </c>
      <c r="D35" s="10" t="s">
        <v>596</v>
      </c>
      <c r="E35" s="6" t="s">
        <v>22</v>
      </c>
      <c r="F35" s="6"/>
      <c r="G35" s="6"/>
      <c r="H35" s="6"/>
      <c r="I35" s="6">
        <f t="shared" si="0"/>
        <v>0</v>
      </c>
      <c r="J35" s="29">
        <v>6</v>
      </c>
      <c r="K35" s="100">
        <f t="shared" si="2"/>
        <v>0</v>
      </c>
    </row>
    <row r="36" spans="1:11">
      <c r="A36" s="82" t="s">
        <v>605</v>
      </c>
      <c r="B36" s="81" t="s">
        <v>608</v>
      </c>
      <c r="C36" s="6">
        <v>32</v>
      </c>
      <c r="D36" s="10" t="s">
        <v>611</v>
      </c>
      <c r="E36" s="6" t="s">
        <v>65</v>
      </c>
      <c r="F36" s="6"/>
      <c r="G36" s="6"/>
      <c r="H36" s="6"/>
      <c r="I36" s="6">
        <f t="shared" si="0"/>
        <v>0</v>
      </c>
      <c r="J36" s="29">
        <v>22</v>
      </c>
      <c r="K36" s="100">
        <f t="shared" si="2"/>
        <v>0</v>
      </c>
    </row>
    <row r="37" spans="1:11">
      <c r="A37" s="82" t="s">
        <v>606</v>
      </c>
      <c r="B37" s="81" t="s">
        <v>609</v>
      </c>
      <c r="C37" s="6">
        <v>33</v>
      </c>
      <c r="D37" s="10" t="s">
        <v>612</v>
      </c>
      <c r="E37" s="6" t="s">
        <v>65</v>
      </c>
      <c r="F37" s="6"/>
      <c r="G37" s="6"/>
      <c r="H37" s="6"/>
      <c r="I37" s="6">
        <f t="shared" si="0"/>
        <v>0</v>
      </c>
      <c r="J37" s="29">
        <v>28</v>
      </c>
      <c r="K37" s="100">
        <f t="shared" si="2"/>
        <v>0</v>
      </c>
    </row>
    <row r="38" spans="1:11">
      <c r="A38" s="82" t="s">
        <v>607</v>
      </c>
      <c r="B38" s="81" t="s">
        <v>610</v>
      </c>
      <c r="C38" s="6">
        <v>34</v>
      </c>
      <c r="D38" s="10" t="s">
        <v>613</v>
      </c>
      <c r="E38" s="6" t="s">
        <v>65</v>
      </c>
      <c r="F38" s="6"/>
      <c r="G38" s="6"/>
      <c r="H38" s="6"/>
      <c r="I38" s="6">
        <f t="shared" si="0"/>
        <v>0</v>
      </c>
      <c r="J38" s="29">
        <v>410</v>
      </c>
      <c r="K38" s="100">
        <f t="shared" si="2"/>
        <v>0</v>
      </c>
    </row>
    <row r="39" spans="1:11" s="80" customFormat="1">
      <c r="A39" s="82" t="s">
        <v>903</v>
      </c>
      <c r="B39" s="81" t="s">
        <v>900</v>
      </c>
      <c r="C39" s="6">
        <v>35</v>
      </c>
      <c r="D39" s="10" t="s">
        <v>902</v>
      </c>
      <c r="E39" s="6" t="s">
        <v>65</v>
      </c>
      <c r="F39" s="6"/>
      <c r="G39" s="6"/>
      <c r="H39" s="6"/>
      <c r="I39" s="6">
        <f t="shared" si="0"/>
        <v>0</v>
      </c>
      <c r="J39" s="29">
        <v>25.92</v>
      </c>
      <c r="K39" s="100">
        <f t="shared" si="2"/>
        <v>0</v>
      </c>
    </row>
    <row r="40" spans="1:11">
      <c r="A40" s="82" t="s">
        <v>904</v>
      </c>
      <c r="B40" s="81" t="s">
        <v>901</v>
      </c>
      <c r="C40" s="6">
        <v>36</v>
      </c>
      <c r="D40" s="10" t="s">
        <v>924</v>
      </c>
      <c r="E40" s="10" t="s">
        <v>1377</v>
      </c>
      <c r="F40" s="6">
        <v>0</v>
      </c>
      <c r="G40" s="6">
        <f>3584+1875</f>
        <v>5459</v>
      </c>
      <c r="H40" s="6">
        <v>0</v>
      </c>
      <c r="I40" s="6">
        <f>G40-H40</f>
        <v>5459</v>
      </c>
      <c r="J40" s="29">
        <v>17.57</v>
      </c>
      <c r="K40" s="100">
        <f t="shared" si="2"/>
        <v>95914.63</v>
      </c>
    </row>
    <row r="41" spans="1:11">
      <c r="A41" s="82" t="s">
        <v>965</v>
      </c>
      <c r="B41" s="81" t="s">
        <v>964</v>
      </c>
      <c r="C41" s="6">
        <v>37</v>
      </c>
      <c r="D41" s="10" t="s">
        <v>969</v>
      </c>
      <c r="E41" s="10" t="s">
        <v>87</v>
      </c>
      <c r="F41" s="6"/>
      <c r="G41" s="6"/>
      <c r="H41" s="6"/>
      <c r="I41" s="6">
        <f t="shared" si="0"/>
        <v>0</v>
      </c>
      <c r="J41" s="29">
        <v>7</v>
      </c>
      <c r="K41" s="100">
        <f t="shared" si="2"/>
        <v>0</v>
      </c>
    </row>
    <row r="42" spans="1:11">
      <c r="A42" s="82" t="s">
        <v>976</v>
      </c>
      <c r="B42" s="81" t="s">
        <v>973</v>
      </c>
      <c r="C42" s="6">
        <v>38</v>
      </c>
      <c r="D42" s="10" t="s">
        <v>977</v>
      </c>
      <c r="E42" s="10" t="s">
        <v>87</v>
      </c>
      <c r="F42" s="6"/>
      <c r="G42" s="6"/>
      <c r="H42" s="6"/>
      <c r="I42" s="6">
        <f t="shared" si="0"/>
        <v>0</v>
      </c>
      <c r="J42" s="29">
        <v>111.21</v>
      </c>
      <c r="K42" s="100">
        <f t="shared" si="2"/>
        <v>0</v>
      </c>
    </row>
    <row r="43" spans="1:11">
      <c r="A43" s="82" t="s">
        <v>979</v>
      </c>
      <c r="B43" s="81" t="s">
        <v>974</v>
      </c>
      <c r="C43" s="6">
        <v>39</v>
      </c>
      <c r="D43" s="10" t="s">
        <v>978</v>
      </c>
      <c r="E43" s="10" t="s">
        <v>87</v>
      </c>
      <c r="F43" s="6"/>
      <c r="G43" s="6"/>
      <c r="H43" s="6"/>
      <c r="I43" s="6">
        <f t="shared" si="0"/>
        <v>0</v>
      </c>
      <c r="J43" s="29">
        <v>230.78</v>
      </c>
      <c r="K43" s="100">
        <f t="shared" si="2"/>
        <v>0</v>
      </c>
    </row>
    <row r="44" spans="1:11">
      <c r="A44" s="82" t="s">
        <v>970</v>
      </c>
      <c r="B44" s="81" t="s">
        <v>975</v>
      </c>
      <c r="C44" s="6">
        <v>40</v>
      </c>
      <c r="D44" s="10" t="s">
        <v>980</v>
      </c>
      <c r="E44" s="10" t="s">
        <v>87</v>
      </c>
      <c r="F44" s="6"/>
      <c r="G44" s="6"/>
      <c r="H44" s="6"/>
      <c r="I44" s="6">
        <f t="shared" si="0"/>
        <v>0</v>
      </c>
      <c r="J44" s="29">
        <v>266.36</v>
      </c>
      <c r="K44" s="100">
        <f t="shared" si="2"/>
        <v>0</v>
      </c>
    </row>
    <row r="45" spans="1:11">
      <c r="A45" s="82" t="s">
        <v>971</v>
      </c>
      <c r="B45" s="81" t="s">
        <v>981</v>
      </c>
      <c r="C45" s="6">
        <v>41</v>
      </c>
      <c r="D45" s="10" t="s">
        <v>983</v>
      </c>
      <c r="E45" s="10" t="s">
        <v>65</v>
      </c>
      <c r="F45" s="6"/>
      <c r="G45" s="6"/>
      <c r="H45" s="6"/>
      <c r="I45" s="6">
        <f t="shared" si="0"/>
        <v>0</v>
      </c>
      <c r="J45" s="29">
        <v>283.26</v>
      </c>
      <c r="K45" s="100">
        <f t="shared" si="2"/>
        <v>0</v>
      </c>
    </row>
    <row r="46" spans="1:11">
      <c r="A46" s="82" t="s">
        <v>972</v>
      </c>
      <c r="B46" s="81" t="s">
        <v>982</v>
      </c>
      <c r="C46" s="6">
        <v>42</v>
      </c>
      <c r="D46" s="10" t="s">
        <v>984</v>
      </c>
      <c r="E46" s="10" t="s">
        <v>87</v>
      </c>
      <c r="F46" s="6"/>
      <c r="G46" s="6"/>
      <c r="H46" s="6"/>
      <c r="I46" s="6">
        <f t="shared" si="0"/>
        <v>0</v>
      </c>
      <c r="J46" s="29">
        <v>8</v>
      </c>
      <c r="K46" s="100">
        <f t="shared" si="2"/>
        <v>0</v>
      </c>
    </row>
    <row r="47" spans="1:11">
      <c r="A47" s="82" t="s">
        <v>995</v>
      </c>
      <c r="B47" s="81" t="s">
        <v>997</v>
      </c>
      <c r="C47" s="6">
        <v>43</v>
      </c>
      <c r="D47" s="10" t="s">
        <v>1024</v>
      </c>
      <c r="E47" s="10" t="s">
        <v>87</v>
      </c>
      <c r="F47" s="6"/>
      <c r="G47" s="6"/>
      <c r="H47" s="6"/>
      <c r="I47" s="6">
        <f t="shared" si="0"/>
        <v>0</v>
      </c>
      <c r="J47" s="29"/>
      <c r="K47" s="100">
        <f>I47*J47</f>
        <v>0</v>
      </c>
    </row>
    <row r="48" spans="1:11">
      <c r="A48" s="82" t="s">
        <v>996</v>
      </c>
      <c r="B48" s="81" t="s">
        <v>998</v>
      </c>
      <c r="C48" s="6">
        <v>44</v>
      </c>
      <c r="D48" s="10" t="s">
        <v>1049</v>
      </c>
      <c r="E48" s="10" t="s">
        <v>87</v>
      </c>
      <c r="F48" s="6"/>
      <c r="G48" s="6"/>
      <c r="H48" s="6"/>
      <c r="I48" s="6">
        <f t="shared" si="0"/>
        <v>0</v>
      </c>
      <c r="J48" s="29"/>
      <c r="K48" s="100">
        <f t="shared" ref="K48:K50" si="3">I48*J48</f>
        <v>0</v>
      </c>
    </row>
    <row r="49" spans="1:11">
      <c r="A49" s="82" t="s">
        <v>1046</v>
      </c>
      <c r="B49" s="81" t="s">
        <v>1047</v>
      </c>
      <c r="C49" s="6">
        <v>45</v>
      </c>
      <c r="D49" s="10" t="s">
        <v>1048</v>
      </c>
      <c r="E49" s="10" t="s">
        <v>87</v>
      </c>
      <c r="F49" s="6"/>
      <c r="G49" s="6"/>
      <c r="H49" s="6"/>
      <c r="I49" s="6">
        <f t="shared" si="0"/>
        <v>0</v>
      </c>
      <c r="J49" s="29"/>
      <c r="K49" s="100">
        <f t="shared" si="3"/>
        <v>0</v>
      </c>
    </row>
    <row r="50" spans="1:11">
      <c r="A50" s="82" t="s">
        <v>1054</v>
      </c>
      <c r="B50" s="81" t="s">
        <v>1050</v>
      </c>
      <c r="C50" s="6">
        <v>46</v>
      </c>
      <c r="D50" s="10" t="s">
        <v>1052</v>
      </c>
      <c r="E50" s="10" t="s">
        <v>87</v>
      </c>
      <c r="F50" s="6"/>
      <c r="G50" s="6"/>
      <c r="H50" s="6"/>
      <c r="I50" s="6">
        <f t="shared" si="0"/>
        <v>0</v>
      </c>
      <c r="J50" s="29"/>
      <c r="K50" s="100">
        <f t="shared" si="3"/>
        <v>0</v>
      </c>
    </row>
    <row r="51" spans="1:11">
      <c r="A51" s="82" t="s">
        <v>1055</v>
      </c>
      <c r="B51" s="81" t="s">
        <v>1051</v>
      </c>
      <c r="C51" s="6">
        <v>47</v>
      </c>
      <c r="D51" s="10" t="s">
        <v>1053</v>
      </c>
      <c r="E51" s="10" t="s">
        <v>87</v>
      </c>
      <c r="F51" s="6"/>
      <c r="G51" s="6"/>
      <c r="H51" s="6"/>
      <c r="I51" s="6">
        <f t="shared" si="0"/>
        <v>0</v>
      </c>
      <c r="J51" s="29"/>
      <c r="K51" s="100">
        <f>I51*J51</f>
        <v>0</v>
      </c>
    </row>
    <row r="52" spans="1:11">
      <c r="A52" s="82" t="s">
        <v>1120</v>
      </c>
      <c r="B52" s="81" t="s">
        <v>1070</v>
      </c>
      <c r="C52" s="6">
        <v>48</v>
      </c>
      <c r="D52" s="147" t="s">
        <v>1066</v>
      </c>
      <c r="E52" s="10" t="s">
        <v>87</v>
      </c>
      <c r="F52" s="6"/>
      <c r="G52" s="6"/>
      <c r="H52" s="6"/>
      <c r="I52" s="6">
        <f t="shared" si="0"/>
        <v>0</v>
      </c>
      <c r="J52" s="29">
        <v>250.88</v>
      </c>
      <c r="K52" s="100">
        <f>I52*J52</f>
        <v>0</v>
      </c>
    </row>
    <row r="53" spans="1:11">
      <c r="A53" s="82" t="s">
        <v>1121</v>
      </c>
      <c r="B53" s="81" t="s">
        <v>1071</v>
      </c>
      <c r="C53" s="6">
        <v>49</v>
      </c>
      <c r="D53" s="147" t="s">
        <v>1067</v>
      </c>
      <c r="E53" s="10" t="s">
        <v>87</v>
      </c>
      <c r="F53" s="6"/>
      <c r="G53" s="6"/>
      <c r="H53" s="6"/>
      <c r="I53" s="6">
        <f t="shared" si="0"/>
        <v>0</v>
      </c>
      <c r="J53" s="29"/>
      <c r="K53" s="100">
        <f>I53*J53</f>
        <v>0</v>
      </c>
    </row>
    <row r="54" spans="1:11">
      <c r="A54" s="82" t="s">
        <v>1122</v>
      </c>
      <c r="B54" s="81" t="s">
        <v>1072</v>
      </c>
      <c r="C54" s="6">
        <v>50</v>
      </c>
      <c r="D54" s="10" t="s">
        <v>1069</v>
      </c>
      <c r="E54" s="10" t="s">
        <v>87</v>
      </c>
      <c r="F54" s="6"/>
      <c r="G54" s="6"/>
      <c r="H54" s="6"/>
      <c r="I54" s="6">
        <f t="shared" si="0"/>
        <v>0</v>
      </c>
      <c r="J54" s="29">
        <v>50</v>
      </c>
      <c r="K54" s="100">
        <f t="shared" ref="K54:K56" si="4">I54*J54</f>
        <v>0</v>
      </c>
    </row>
    <row r="55" spans="1:11">
      <c r="A55" s="82" t="s">
        <v>1123</v>
      </c>
      <c r="B55" s="81" t="s">
        <v>1073</v>
      </c>
      <c r="C55" s="6">
        <v>51</v>
      </c>
      <c r="D55" s="10" t="s">
        <v>1068</v>
      </c>
      <c r="E55" s="10" t="s">
        <v>87</v>
      </c>
      <c r="F55" s="6">
        <f>194+10</f>
        <v>204</v>
      </c>
      <c r="G55" s="6"/>
      <c r="H55" s="6">
        <v>1</v>
      </c>
      <c r="I55" s="6">
        <f t="shared" si="0"/>
        <v>203</v>
      </c>
      <c r="J55" s="29">
        <v>50</v>
      </c>
      <c r="K55" s="100">
        <f t="shared" si="4"/>
        <v>10150</v>
      </c>
    </row>
    <row r="56" spans="1:11">
      <c r="A56" s="82" t="s">
        <v>1124</v>
      </c>
      <c r="B56" s="81" t="s">
        <v>1119</v>
      </c>
      <c r="C56" s="6">
        <v>52</v>
      </c>
      <c r="D56" s="10" t="s">
        <v>1125</v>
      </c>
      <c r="E56" s="10" t="s">
        <v>87</v>
      </c>
      <c r="F56" s="6"/>
      <c r="G56" s="6"/>
      <c r="H56" s="6"/>
      <c r="I56" s="6">
        <f t="shared" si="0"/>
        <v>0</v>
      </c>
      <c r="J56" s="29"/>
      <c r="K56" s="100">
        <f t="shared" si="4"/>
        <v>0</v>
      </c>
    </row>
    <row r="57" spans="1:11">
      <c r="A57" s="82"/>
      <c r="B57" s="81" t="s">
        <v>1978</v>
      </c>
      <c r="C57" s="6">
        <v>53</v>
      </c>
      <c r="D57" s="147" t="s">
        <v>1204</v>
      </c>
      <c r="E57" s="10" t="s">
        <v>22</v>
      </c>
      <c r="F57" s="6"/>
      <c r="G57" s="6"/>
      <c r="H57" s="6"/>
      <c r="I57" s="6">
        <f t="shared" si="0"/>
        <v>0</v>
      </c>
      <c r="J57" s="29"/>
      <c r="K57" s="100">
        <f>I57*J57</f>
        <v>0</v>
      </c>
    </row>
    <row r="58" spans="1:11">
      <c r="A58" s="82"/>
      <c r="B58" s="81" t="s">
        <v>1979</v>
      </c>
      <c r="C58" s="6">
        <v>54</v>
      </c>
      <c r="D58" s="147" t="s">
        <v>1272</v>
      </c>
      <c r="E58" s="10" t="s">
        <v>78</v>
      </c>
      <c r="F58" s="6">
        <v>20</v>
      </c>
      <c r="G58" s="6"/>
      <c r="H58" s="6"/>
      <c r="I58" s="6">
        <f t="shared" si="0"/>
        <v>20</v>
      </c>
      <c r="J58" s="29">
        <v>8</v>
      </c>
      <c r="K58" s="100">
        <f t="shared" ref="K58:K93" si="5">I58*J58</f>
        <v>160</v>
      </c>
    </row>
    <row r="59" spans="1:11">
      <c r="A59" s="82"/>
      <c r="B59" s="81" t="s">
        <v>1980</v>
      </c>
      <c r="C59" s="6">
        <v>55</v>
      </c>
      <c r="D59" s="147" t="s">
        <v>1273</v>
      </c>
      <c r="E59" s="10" t="s">
        <v>78</v>
      </c>
      <c r="F59" s="6">
        <v>445</v>
      </c>
      <c r="G59" s="6"/>
      <c r="H59" s="6"/>
      <c r="I59" s="6">
        <f t="shared" si="0"/>
        <v>445</v>
      </c>
      <c r="J59" s="29">
        <v>8</v>
      </c>
      <c r="K59" s="100">
        <f t="shared" si="5"/>
        <v>3560</v>
      </c>
    </row>
    <row r="60" spans="1:11">
      <c r="A60" s="82"/>
      <c r="B60" s="81" t="s">
        <v>1981</v>
      </c>
      <c r="C60" s="6">
        <v>56</v>
      </c>
      <c r="D60" s="147" t="s">
        <v>1283</v>
      </c>
      <c r="E60" s="10" t="s">
        <v>87</v>
      </c>
      <c r="F60" s="6">
        <v>402</v>
      </c>
      <c r="G60" s="6"/>
      <c r="H60" s="6"/>
      <c r="I60" s="6">
        <f t="shared" si="0"/>
        <v>402</v>
      </c>
      <c r="J60" s="29">
        <v>7</v>
      </c>
      <c r="K60" s="100">
        <f t="shared" si="5"/>
        <v>2814</v>
      </c>
    </row>
    <row r="61" spans="1:11">
      <c r="A61" s="82"/>
      <c r="B61" s="81" t="s">
        <v>1982</v>
      </c>
      <c r="C61" s="6">
        <v>57</v>
      </c>
      <c r="D61" s="147" t="s">
        <v>1284</v>
      </c>
      <c r="E61" s="10" t="s">
        <v>87</v>
      </c>
      <c r="F61" s="6">
        <v>710</v>
      </c>
      <c r="G61" s="6"/>
      <c r="H61" s="6"/>
      <c r="I61" s="6">
        <f t="shared" si="0"/>
        <v>710</v>
      </c>
      <c r="J61" s="29">
        <v>6.5</v>
      </c>
      <c r="K61" s="100">
        <f t="shared" si="5"/>
        <v>4615</v>
      </c>
    </row>
    <row r="62" spans="1:11">
      <c r="A62" s="82"/>
      <c r="B62" s="81" t="s">
        <v>1983</v>
      </c>
      <c r="C62" s="6">
        <v>58</v>
      </c>
      <c r="D62" s="147" t="s">
        <v>1285</v>
      </c>
      <c r="E62" s="10" t="s">
        <v>87</v>
      </c>
      <c r="F62" s="6">
        <v>1963</v>
      </c>
      <c r="G62" s="6"/>
      <c r="H62" s="6"/>
      <c r="I62" s="6">
        <v>4000</v>
      </c>
      <c r="J62" s="29">
        <v>12</v>
      </c>
      <c r="K62" s="100">
        <f t="shared" si="5"/>
        <v>48000</v>
      </c>
    </row>
    <row r="63" spans="1:11">
      <c r="A63" s="82"/>
      <c r="B63" s="81" t="s">
        <v>1984</v>
      </c>
      <c r="C63" s="6">
        <v>59</v>
      </c>
      <c r="D63" s="147" t="s">
        <v>1335</v>
      </c>
      <c r="E63" s="10" t="s">
        <v>87</v>
      </c>
      <c r="F63" s="6">
        <v>248</v>
      </c>
      <c r="G63" s="6"/>
      <c r="H63" s="6">
        <f>1+1+1</f>
        <v>3</v>
      </c>
      <c r="I63" s="6">
        <f t="shared" si="0"/>
        <v>245</v>
      </c>
      <c r="J63" s="29">
        <v>11</v>
      </c>
      <c r="K63" s="100">
        <f t="shared" si="5"/>
        <v>2695</v>
      </c>
    </row>
    <row r="64" spans="1:11">
      <c r="A64" s="82"/>
      <c r="B64" s="81" t="s">
        <v>1985</v>
      </c>
      <c r="C64" s="6">
        <v>60</v>
      </c>
      <c r="D64" s="147" t="s">
        <v>1351</v>
      </c>
      <c r="E64" s="10" t="s">
        <v>87</v>
      </c>
      <c r="F64" s="10">
        <f>73+603</f>
        <v>676</v>
      </c>
      <c r="G64" s="10">
        <v>50</v>
      </c>
      <c r="H64" s="10">
        <f>1+10+10+2+11+2+2+4+100+4</f>
        <v>146</v>
      </c>
      <c r="I64" s="6">
        <f t="shared" si="0"/>
        <v>580</v>
      </c>
      <c r="J64" s="29">
        <v>9.5</v>
      </c>
      <c r="K64" s="100">
        <f t="shared" si="5"/>
        <v>5510</v>
      </c>
    </row>
    <row r="65" spans="1:11">
      <c r="A65" s="82"/>
      <c r="B65" s="81" t="s">
        <v>1986</v>
      </c>
      <c r="C65" s="6">
        <v>61</v>
      </c>
      <c r="D65" s="147" t="s">
        <v>1289</v>
      </c>
      <c r="E65" s="10" t="s">
        <v>87</v>
      </c>
      <c r="F65" s="10">
        <v>572</v>
      </c>
      <c r="G65" s="10"/>
      <c r="H65" s="10"/>
      <c r="I65" s="6">
        <f t="shared" si="0"/>
        <v>572</v>
      </c>
      <c r="J65" s="29">
        <v>8</v>
      </c>
      <c r="K65" s="100">
        <f t="shared" si="5"/>
        <v>4576</v>
      </c>
    </row>
    <row r="66" spans="1:11">
      <c r="A66" s="82"/>
      <c r="B66" s="81" t="s">
        <v>1987</v>
      </c>
      <c r="C66" s="6">
        <v>62</v>
      </c>
      <c r="D66" s="147" t="s">
        <v>1290</v>
      </c>
      <c r="E66" s="10" t="s">
        <v>87</v>
      </c>
      <c r="F66" s="10">
        <v>29</v>
      </c>
      <c r="G66" s="10"/>
      <c r="H66" s="10"/>
      <c r="I66" s="6">
        <f t="shared" si="0"/>
        <v>29</v>
      </c>
      <c r="J66" s="29">
        <v>10</v>
      </c>
      <c r="K66" s="100">
        <f t="shared" si="5"/>
        <v>290</v>
      </c>
    </row>
    <row r="67" spans="1:11">
      <c r="A67" s="82"/>
      <c r="B67" s="81" t="s">
        <v>1988</v>
      </c>
      <c r="C67" s="6">
        <v>63</v>
      </c>
      <c r="D67" s="147" t="s">
        <v>1291</v>
      </c>
      <c r="E67" s="10" t="s">
        <v>87</v>
      </c>
      <c r="F67" s="10">
        <v>5</v>
      </c>
      <c r="G67" s="10"/>
      <c r="H67" s="10"/>
      <c r="I67" s="6">
        <f t="shared" si="0"/>
        <v>5</v>
      </c>
      <c r="J67" s="29">
        <v>11</v>
      </c>
      <c r="K67" s="100">
        <f t="shared" si="5"/>
        <v>55</v>
      </c>
    </row>
    <row r="68" spans="1:11">
      <c r="A68" s="82"/>
      <c r="B68" s="81" t="s">
        <v>1989</v>
      </c>
      <c r="C68" s="6">
        <v>64</v>
      </c>
      <c r="D68" s="147" t="s">
        <v>1292</v>
      </c>
      <c r="E68" s="10" t="s">
        <v>87</v>
      </c>
      <c r="F68" s="10">
        <v>12</v>
      </c>
      <c r="G68" s="10"/>
      <c r="H68" s="10"/>
      <c r="I68" s="6">
        <f t="shared" si="0"/>
        <v>12</v>
      </c>
      <c r="J68" s="29">
        <v>17</v>
      </c>
      <c r="K68" s="100">
        <f t="shared" si="5"/>
        <v>204</v>
      </c>
    </row>
    <row r="69" spans="1:11">
      <c r="A69" s="82"/>
      <c r="B69" s="81" t="s">
        <v>1990</v>
      </c>
      <c r="C69" s="6">
        <v>65</v>
      </c>
      <c r="D69" s="147" t="s">
        <v>1293</v>
      </c>
      <c r="E69" s="10" t="s">
        <v>87</v>
      </c>
      <c r="F69" s="10">
        <v>7</v>
      </c>
      <c r="G69" s="10"/>
      <c r="H69" s="10"/>
      <c r="I69" s="6">
        <f t="shared" si="0"/>
        <v>7</v>
      </c>
      <c r="J69" s="29">
        <v>18</v>
      </c>
      <c r="K69" s="100">
        <f t="shared" si="5"/>
        <v>126</v>
      </c>
    </row>
    <row r="70" spans="1:11" s="296" customFormat="1">
      <c r="A70" s="82"/>
      <c r="B70" s="81" t="s">
        <v>1991</v>
      </c>
      <c r="C70" s="6">
        <v>66</v>
      </c>
      <c r="D70" s="147" t="s">
        <v>1294</v>
      </c>
      <c r="E70" s="10" t="s">
        <v>87</v>
      </c>
      <c r="F70" s="10">
        <v>53</v>
      </c>
      <c r="G70" s="10"/>
      <c r="H70" s="10"/>
      <c r="I70" s="6">
        <f t="shared" ref="I70:I85" si="6">F70+G70-H70</f>
        <v>53</v>
      </c>
      <c r="J70" s="29">
        <v>15</v>
      </c>
      <c r="K70" s="100">
        <f t="shared" si="5"/>
        <v>795</v>
      </c>
    </row>
    <row r="71" spans="1:11" s="296" customFormat="1">
      <c r="A71" s="82"/>
      <c r="B71" s="81" t="s">
        <v>1992</v>
      </c>
      <c r="C71" s="6"/>
      <c r="D71" s="147" t="s">
        <v>1317</v>
      </c>
      <c r="E71" s="10" t="s">
        <v>87</v>
      </c>
      <c r="F71" s="10">
        <v>514</v>
      </c>
      <c r="G71" s="10"/>
      <c r="H71" s="10"/>
      <c r="I71" s="6">
        <f t="shared" ref="I71:I72" si="7">F71+G71-H71</f>
        <v>514</v>
      </c>
      <c r="J71" s="29">
        <v>8</v>
      </c>
      <c r="K71" s="100">
        <f t="shared" ref="K71:K75" si="8">I71*J71</f>
        <v>4112</v>
      </c>
    </row>
    <row r="72" spans="1:11" s="296" customFormat="1">
      <c r="A72" s="82"/>
      <c r="B72" s="81" t="s">
        <v>1993</v>
      </c>
      <c r="C72" s="6">
        <v>68</v>
      </c>
      <c r="D72" s="147" t="s">
        <v>1334</v>
      </c>
      <c r="E72" s="10" t="s">
        <v>87</v>
      </c>
      <c r="F72" s="10">
        <v>0</v>
      </c>
      <c r="G72" s="10">
        <v>68</v>
      </c>
      <c r="H72" s="10">
        <v>68</v>
      </c>
      <c r="I72" s="6">
        <f t="shared" si="7"/>
        <v>0</v>
      </c>
      <c r="J72" s="29"/>
      <c r="K72" s="100">
        <f t="shared" si="8"/>
        <v>0</v>
      </c>
    </row>
    <row r="73" spans="1:11" s="296" customFormat="1">
      <c r="A73" s="82"/>
      <c r="B73" s="81" t="s">
        <v>1994</v>
      </c>
      <c r="C73" s="6">
        <v>69</v>
      </c>
      <c r="D73" s="147" t="s">
        <v>2185</v>
      </c>
      <c r="E73" s="10" t="s">
        <v>87</v>
      </c>
      <c r="F73" s="10">
        <v>0</v>
      </c>
      <c r="G73" s="10">
        <v>0</v>
      </c>
      <c r="H73" s="10">
        <v>0</v>
      </c>
      <c r="I73" s="6">
        <v>0</v>
      </c>
      <c r="J73" s="29">
        <v>7</v>
      </c>
      <c r="K73" s="100">
        <f t="shared" si="8"/>
        <v>0</v>
      </c>
    </row>
    <row r="74" spans="1:11" s="296" customFormat="1">
      <c r="A74" s="82"/>
      <c r="B74" s="81" t="s">
        <v>1995</v>
      </c>
      <c r="C74" s="6"/>
      <c r="D74" s="147" t="s">
        <v>1352</v>
      </c>
      <c r="E74" s="10" t="s">
        <v>87</v>
      </c>
      <c r="F74" s="10">
        <v>0</v>
      </c>
      <c r="G74" s="10">
        <f>25+97</f>
        <v>122</v>
      </c>
      <c r="H74" s="10">
        <v>25</v>
      </c>
      <c r="I74" s="6">
        <f t="shared" ref="I74:I75" si="9">F74+G74-H74</f>
        <v>97</v>
      </c>
      <c r="J74" s="29"/>
      <c r="K74" s="100">
        <f t="shared" si="8"/>
        <v>0</v>
      </c>
    </row>
    <row r="75" spans="1:11" s="296" customFormat="1">
      <c r="A75" s="82"/>
      <c r="B75" s="81" t="s">
        <v>1996</v>
      </c>
      <c r="C75" s="6">
        <v>71</v>
      </c>
      <c r="D75" s="147" t="s">
        <v>2186</v>
      </c>
      <c r="E75" s="10" t="s">
        <v>87</v>
      </c>
      <c r="F75" s="10">
        <v>0</v>
      </c>
      <c r="G75" s="10">
        <f>25+124</f>
        <v>149</v>
      </c>
      <c r="H75" s="10">
        <f>2+5+16+2</f>
        <v>25</v>
      </c>
      <c r="I75" s="6">
        <f t="shared" si="9"/>
        <v>124</v>
      </c>
      <c r="J75" s="29"/>
      <c r="K75" s="100">
        <f t="shared" si="8"/>
        <v>0</v>
      </c>
    </row>
    <row r="76" spans="1:11" s="296" customFormat="1">
      <c r="A76" s="82"/>
      <c r="B76" s="81" t="s">
        <v>1997</v>
      </c>
      <c r="C76" s="6">
        <v>72</v>
      </c>
      <c r="D76" s="10" t="s">
        <v>2193</v>
      </c>
      <c r="E76" s="10" t="s">
        <v>87</v>
      </c>
      <c r="F76" s="10">
        <v>0</v>
      </c>
      <c r="G76" s="10">
        <v>0</v>
      </c>
      <c r="H76" s="10">
        <v>0</v>
      </c>
      <c r="I76" s="6">
        <v>0</v>
      </c>
      <c r="J76" s="29">
        <v>0</v>
      </c>
      <c r="K76" s="100">
        <v>0</v>
      </c>
    </row>
    <row r="77" spans="1:11" s="296" customFormat="1">
      <c r="A77" s="82"/>
      <c r="B77" s="81" t="s">
        <v>1998</v>
      </c>
      <c r="C77" s="6">
        <v>73</v>
      </c>
      <c r="D77" s="147" t="s">
        <v>2194</v>
      </c>
      <c r="E77" s="10" t="s">
        <v>87</v>
      </c>
      <c r="F77" s="10">
        <v>0</v>
      </c>
      <c r="G77" s="10">
        <v>0</v>
      </c>
      <c r="H77" s="10">
        <v>0</v>
      </c>
      <c r="I77" s="6">
        <v>0</v>
      </c>
      <c r="J77" s="29">
        <v>0</v>
      </c>
      <c r="K77" s="100">
        <v>0</v>
      </c>
    </row>
    <row r="78" spans="1:11" s="296" customFormat="1">
      <c r="A78" s="82"/>
      <c r="B78" s="81" t="s">
        <v>1999</v>
      </c>
      <c r="C78" s="6">
        <v>74</v>
      </c>
      <c r="D78" s="10" t="s">
        <v>2195</v>
      </c>
      <c r="E78" s="10" t="s">
        <v>2196</v>
      </c>
      <c r="F78" s="10">
        <v>0</v>
      </c>
      <c r="G78" s="10">
        <v>0</v>
      </c>
      <c r="H78" s="10">
        <v>0</v>
      </c>
      <c r="I78" s="6">
        <v>0</v>
      </c>
      <c r="J78" s="29">
        <v>0</v>
      </c>
      <c r="K78" s="100">
        <v>0</v>
      </c>
    </row>
    <row r="79" spans="1:11" s="296" customFormat="1">
      <c r="A79" s="82"/>
      <c r="B79" s="81" t="s">
        <v>2000</v>
      </c>
      <c r="C79" s="6">
        <v>75</v>
      </c>
      <c r="D79" s="10" t="s">
        <v>2197</v>
      </c>
      <c r="E79" s="10" t="s">
        <v>87</v>
      </c>
      <c r="F79" s="10">
        <v>0</v>
      </c>
      <c r="G79" s="10">
        <v>0</v>
      </c>
      <c r="H79" s="10">
        <v>0</v>
      </c>
      <c r="I79" s="6">
        <v>0</v>
      </c>
      <c r="J79" s="29">
        <v>0</v>
      </c>
      <c r="K79" s="100">
        <v>0</v>
      </c>
    </row>
    <row r="80" spans="1:11" s="296" customFormat="1">
      <c r="A80" s="82"/>
      <c r="B80" s="81" t="s">
        <v>2187</v>
      </c>
      <c r="C80" s="6">
        <v>76</v>
      </c>
      <c r="D80" s="10" t="s">
        <v>2198</v>
      </c>
      <c r="E80" s="10" t="s">
        <v>87</v>
      </c>
      <c r="F80" s="10">
        <v>0</v>
      </c>
      <c r="G80" s="10">
        <v>0</v>
      </c>
      <c r="H80" s="10">
        <v>0</v>
      </c>
      <c r="I80" s="6">
        <v>0</v>
      </c>
      <c r="J80" s="29">
        <v>0</v>
      </c>
      <c r="K80" s="100">
        <v>0</v>
      </c>
    </row>
    <row r="81" spans="1:11" s="296" customFormat="1">
      <c r="A81" s="82"/>
      <c r="B81" s="81" t="s">
        <v>2188</v>
      </c>
      <c r="C81" s="6">
        <v>77</v>
      </c>
      <c r="D81" s="10" t="s">
        <v>2199</v>
      </c>
      <c r="E81" s="10" t="s">
        <v>87</v>
      </c>
      <c r="F81" s="10">
        <v>0</v>
      </c>
      <c r="G81" s="10">
        <v>0</v>
      </c>
      <c r="H81" s="10">
        <v>0</v>
      </c>
      <c r="I81" s="6">
        <v>0</v>
      </c>
      <c r="J81" s="29">
        <v>0</v>
      </c>
      <c r="K81" s="100">
        <v>0</v>
      </c>
    </row>
    <row r="82" spans="1:11" s="296" customFormat="1">
      <c r="A82" s="82"/>
      <c r="B82" s="81" t="s">
        <v>2189</v>
      </c>
      <c r="C82" s="6">
        <v>78</v>
      </c>
      <c r="D82" s="10" t="s">
        <v>2200</v>
      </c>
      <c r="E82" s="10" t="s">
        <v>87</v>
      </c>
      <c r="F82" s="10">
        <v>0</v>
      </c>
      <c r="G82" s="10">
        <v>0</v>
      </c>
      <c r="H82" s="10">
        <v>0</v>
      </c>
      <c r="I82" s="6">
        <v>0</v>
      </c>
      <c r="J82" s="29">
        <v>0</v>
      </c>
      <c r="K82" s="100">
        <v>0</v>
      </c>
    </row>
    <row r="83" spans="1:11" s="296" customFormat="1">
      <c r="A83" s="82"/>
      <c r="B83" s="81" t="s">
        <v>2190</v>
      </c>
      <c r="C83" s="6">
        <v>79</v>
      </c>
      <c r="D83" s="10" t="s">
        <v>2201</v>
      </c>
      <c r="E83" s="10" t="s">
        <v>87</v>
      </c>
      <c r="F83" s="10">
        <v>0</v>
      </c>
      <c r="G83" s="10">
        <v>0</v>
      </c>
      <c r="H83" s="10">
        <v>0</v>
      </c>
      <c r="I83" s="6">
        <v>0</v>
      </c>
      <c r="J83" s="29">
        <v>0</v>
      </c>
      <c r="K83" s="100">
        <v>0</v>
      </c>
    </row>
    <row r="84" spans="1:11" s="296" customFormat="1">
      <c r="A84" s="82"/>
      <c r="B84" s="81" t="s">
        <v>2001</v>
      </c>
      <c r="C84" s="6">
        <v>80</v>
      </c>
      <c r="D84" s="10" t="s">
        <v>2002</v>
      </c>
      <c r="E84" s="10" t="s">
        <v>87</v>
      </c>
      <c r="F84" s="6">
        <v>0</v>
      </c>
      <c r="G84" s="6">
        <v>5159</v>
      </c>
      <c r="H84" s="6">
        <v>0</v>
      </c>
      <c r="I84" s="6">
        <f t="shared" ref="I84" si="10">F84+G84-H84</f>
        <v>5159</v>
      </c>
      <c r="J84" s="29">
        <v>1.5</v>
      </c>
      <c r="K84" s="100">
        <f t="shared" ref="K84" si="11">I84*J84</f>
        <v>7738.5</v>
      </c>
    </row>
    <row r="85" spans="1:11">
      <c r="A85" s="82"/>
      <c r="B85" s="81" t="s">
        <v>2191</v>
      </c>
      <c r="C85" s="6">
        <v>67</v>
      </c>
      <c r="D85" s="147" t="s">
        <v>1295</v>
      </c>
      <c r="E85" s="10" t="s">
        <v>87</v>
      </c>
      <c r="F85" s="10">
        <v>2640</v>
      </c>
      <c r="G85" s="10"/>
      <c r="H85" s="10"/>
      <c r="I85" s="6">
        <f t="shared" si="6"/>
        <v>2640</v>
      </c>
      <c r="J85" s="29">
        <v>5</v>
      </c>
      <c r="K85" s="100">
        <f t="shared" si="5"/>
        <v>13200</v>
      </c>
    </row>
    <row r="86" spans="1:11" s="296" customFormat="1">
      <c r="A86" s="82"/>
      <c r="B86" s="81" t="s">
        <v>2192</v>
      </c>
      <c r="C86" s="6">
        <v>71</v>
      </c>
      <c r="D86" s="147" t="s">
        <v>1353</v>
      </c>
      <c r="E86" s="10" t="s">
        <v>87</v>
      </c>
      <c r="F86" s="10">
        <v>0</v>
      </c>
      <c r="G86" s="10">
        <f>25+124</f>
        <v>149</v>
      </c>
      <c r="H86" s="10">
        <f>2+5+16+2</f>
        <v>25</v>
      </c>
      <c r="I86" s="6">
        <f t="shared" ref="I86:I88" si="12">F86+G86-H86</f>
        <v>124</v>
      </c>
      <c r="J86" s="29"/>
      <c r="K86" s="100">
        <f t="shared" si="5"/>
        <v>0</v>
      </c>
    </row>
    <row r="87" spans="1:11">
      <c r="A87" s="82"/>
      <c r="B87" s="81" t="s">
        <v>2202</v>
      </c>
      <c r="C87" s="6">
        <v>72</v>
      </c>
      <c r="D87" s="147" t="s">
        <v>1355</v>
      </c>
      <c r="E87" s="10" t="s">
        <v>1354</v>
      </c>
      <c r="F87" s="10"/>
      <c r="G87" s="10">
        <v>249</v>
      </c>
      <c r="H87" s="10">
        <v>245</v>
      </c>
      <c r="I87" s="6">
        <f t="shared" si="12"/>
        <v>4</v>
      </c>
      <c r="J87" s="29"/>
      <c r="K87" s="100">
        <f t="shared" si="5"/>
        <v>0</v>
      </c>
    </row>
    <row r="88" spans="1:11">
      <c r="A88" s="82"/>
      <c r="B88" s="81" t="s">
        <v>2203</v>
      </c>
      <c r="C88" s="6">
        <v>73</v>
      </c>
      <c r="D88" s="244" t="s">
        <v>1368</v>
      </c>
      <c r="E88" s="245" t="s">
        <v>22</v>
      </c>
      <c r="F88" s="245">
        <v>0</v>
      </c>
      <c r="G88" s="245">
        <v>2040</v>
      </c>
      <c r="H88" s="6">
        <v>2010</v>
      </c>
      <c r="I88" s="6">
        <f t="shared" si="12"/>
        <v>30</v>
      </c>
      <c r="J88" s="29">
        <v>5.7</v>
      </c>
      <c r="K88" s="100">
        <f t="shared" si="5"/>
        <v>171</v>
      </c>
    </row>
    <row r="89" spans="1:11" ht="13.5" customHeight="1">
      <c r="A89" s="82"/>
      <c r="B89" s="81" t="s">
        <v>2204</v>
      </c>
      <c r="C89" s="6">
        <v>74</v>
      </c>
      <c r="D89" s="246" t="s">
        <v>1378</v>
      </c>
      <c r="E89" s="245" t="s">
        <v>22</v>
      </c>
      <c r="F89" s="6">
        <v>0</v>
      </c>
      <c r="G89" s="6">
        <v>9</v>
      </c>
      <c r="H89" s="6">
        <v>0</v>
      </c>
      <c r="I89" s="6">
        <f t="shared" ref="I89" si="13">F89+G89-H89</f>
        <v>9</v>
      </c>
      <c r="J89" s="29"/>
      <c r="K89" s="100">
        <f t="shared" si="5"/>
        <v>0</v>
      </c>
    </row>
    <row r="90" spans="1:11" ht="13.5" customHeight="1">
      <c r="A90" s="82"/>
      <c r="B90" s="81" t="s">
        <v>2205</v>
      </c>
      <c r="C90" s="6">
        <v>75</v>
      </c>
      <c r="D90" s="155" t="s">
        <v>1380</v>
      </c>
      <c r="E90" s="245" t="s">
        <v>22</v>
      </c>
      <c r="F90" s="6">
        <v>0</v>
      </c>
      <c r="G90" s="6">
        <v>9</v>
      </c>
      <c r="H90" s="6">
        <v>0</v>
      </c>
      <c r="I90" s="6">
        <f t="shared" ref="I90:I91" si="14">F90+G90-H90</f>
        <v>9</v>
      </c>
      <c r="J90" s="29"/>
      <c r="K90" s="100">
        <f t="shared" si="5"/>
        <v>0</v>
      </c>
    </row>
    <row r="91" spans="1:11" ht="13.5" customHeight="1">
      <c r="A91" s="82"/>
      <c r="B91" s="81" t="s">
        <v>2206</v>
      </c>
      <c r="C91" s="6">
        <v>76</v>
      </c>
      <c r="D91" s="10" t="s">
        <v>2002</v>
      </c>
      <c r="E91" s="245"/>
      <c r="F91" s="6">
        <v>0</v>
      </c>
      <c r="G91" s="6">
        <v>5159</v>
      </c>
      <c r="H91" s="6">
        <v>0</v>
      </c>
      <c r="I91" s="6">
        <f t="shared" si="14"/>
        <v>5159</v>
      </c>
      <c r="J91" s="29">
        <v>1.5</v>
      </c>
      <c r="K91" s="100">
        <f t="shared" si="5"/>
        <v>7738.5</v>
      </c>
    </row>
    <row r="92" spans="1:11" ht="13.5" customHeight="1">
      <c r="A92" s="82"/>
      <c r="B92" s="81" t="s">
        <v>2207</v>
      </c>
      <c r="C92" s="6">
        <v>77</v>
      </c>
      <c r="D92" s="10" t="s">
        <v>2007</v>
      </c>
      <c r="E92" s="245" t="s">
        <v>87</v>
      </c>
      <c r="F92" s="6">
        <v>0</v>
      </c>
      <c r="G92" s="6">
        <f>3107+2961</f>
        <v>6068</v>
      </c>
      <c r="H92" s="6"/>
      <c r="I92" s="6">
        <f>3107+2961</f>
        <v>6068</v>
      </c>
      <c r="J92" s="29">
        <v>8.4</v>
      </c>
      <c r="K92" s="100">
        <f t="shared" si="5"/>
        <v>50971.200000000004</v>
      </c>
    </row>
    <row r="93" spans="1:11" ht="13.5" customHeight="1" thickBot="1">
      <c r="A93" s="247"/>
      <c r="B93" s="248" t="s">
        <v>2208</v>
      </c>
      <c r="C93" s="249"/>
      <c r="D93" s="297" t="s">
        <v>1353</v>
      </c>
      <c r="E93" s="250" t="s">
        <v>87</v>
      </c>
      <c r="F93" s="250">
        <v>0</v>
      </c>
      <c r="G93" s="250">
        <f>25+124</f>
        <v>149</v>
      </c>
      <c r="H93" s="250">
        <f>2+5+16+2</f>
        <v>25</v>
      </c>
      <c r="I93" s="249">
        <f t="shared" ref="I93" si="15">F93+G93-H93</f>
        <v>124</v>
      </c>
      <c r="J93" s="156"/>
      <c r="K93" s="251">
        <f t="shared" si="5"/>
        <v>0</v>
      </c>
    </row>
    <row r="94" spans="1:11" ht="15.75" thickBot="1">
      <c r="A94" s="252"/>
      <c r="B94" s="253"/>
      <c r="C94" s="24"/>
      <c r="D94" s="182"/>
      <c r="E94" s="254"/>
      <c r="F94" s="159"/>
      <c r="G94" s="159"/>
      <c r="H94" s="159"/>
      <c r="I94" s="298"/>
      <c r="J94" s="299" t="s">
        <v>146</v>
      </c>
      <c r="K94" s="300">
        <f>SUM(K5:K93)</f>
        <v>3147598.83</v>
      </c>
    </row>
    <row r="95" spans="1:11">
      <c r="A95" s="26"/>
    </row>
    <row r="98" spans="2:11">
      <c r="B98" s="81"/>
      <c r="C98" s="5"/>
      <c r="D98" s="147"/>
      <c r="E98" s="10"/>
      <c r="F98" s="10"/>
      <c r="G98" s="10"/>
      <c r="H98" s="10"/>
      <c r="I98" s="6"/>
      <c r="J98" s="29"/>
      <c r="K98" s="100"/>
    </row>
  </sheetData>
  <mergeCells count="1">
    <mergeCell ref="A2:K2"/>
  </mergeCells>
  <pageMargins left="0.7" right="0.7" top="0.75" bottom="0.75" header="0.3" footer="0.3"/>
  <pageSetup scale="4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N210"/>
  <sheetViews>
    <sheetView topLeftCell="C181" workbookViewId="0">
      <selection activeCell="G200" sqref="G200"/>
    </sheetView>
  </sheetViews>
  <sheetFormatPr defaultRowHeight="15"/>
  <cols>
    <col min="4" max="4" width="19.7109375" bestFit="1" customWidth="1"/>
    <col min="5" max="5" width="13.85546875" bestFit="1" customWidth="1"/>
    <col min="6" max="6" width="8.42578125" customWidth="1"/>
    <col min="7" max="7" width="32.28515625" customWidth="1"/>
    <col min="8" max="8" width="16.42578125" customWidth="1"/>
    <col min="9" max="9" width="12" customWidth="1"/>
    <col min="10" max="12" width="9.7109375" customWidth="1"/>
    <col min="13" max="13" width="15.28515625" style="87" bestFit="1" customWidth="1"/>
    <col min="14" max="14" width="9.42578125" bestFit="1" customWidth="1"/>
  </cols>
  <sheetData>
    <row r="1" spans="4:14" ht="15.75" thickBot="1"/>
    <row r="2" spans="4:14" ht="16.5" thickBot="1">
      <c r="D2" s="318" t="s">
        <v>599</v>
      </c>
      <c r="E2" s="319"/>
      <c r="F2" s="319"/>
      <c r="G2" s="319"/>
      <c r="H2" s="319"/>
      <c r="I2" s="319"/>
      <c r="J2" s="319"/>
      <c r="K2" s="319"/>
      <c r="L2" s="319"/>
      <c r="M2" s="319"/>
      <c r="N2" s="320"/>
    </row>
    <row r="3" spans="4:14" ht="15.75" thickBot="1"/>
    <row r="4" spans="4:14">
      <c r="D4" s="36" t="s">
        <v>349</v>
      </c>
      <c r="E4" s="40" t="s">
        <v>150</v>
      </c>
      <c r="F4" s="33" t="s">
        <v>0</v>
      </c>
      <c r="G4" s="33" t="s">
        <v>1</v>
      </c>
      <c r="H4" s="33" t="s">
        <v>2</v>
      </c>
      <c r="I4" s="33" t="s">
        <v>1300</v>
      </c>
      <c r="J4" s="33" t="s">
        <v>1298</v>
      </c>
      <c r="K4" s="33" t="s">
        <v>1297</v>
      </c>
      <c r="L4" s="33" t="s">
        <v>1296</v>
      </c>
      <c r="M4" s="34" t="s">
        <v>131</v>
      </c>
      <c r="N4" s="35" t="s">
        <v>136</v>
      </c>
    </row>
    <row r="5" spans="4:14">
      <c r="D5" s="26" t="s">
        <v>409</v>
      </c>
      <c r="E5" s="15" t="s">
        <v>151</v>
      </c>
      <c r="F5" s="5">
        <v>1</v>
      </c>
      <c r="G5" s="4" t="s">
        <v>4</v>
      </c>
      <c r="H5" s="16" t="s">
        <v>1263</v>
      </c>
      <c r="I5" s="4">
        <v>300</v>
      </c>
      <c r="J5" s="4"/>
      <c r="K5" s="4"/>
      <c r="L5" s="4">
        <f>I5+J5-K5</f>
        <v>300</v>
      </c>
      <c r="M5" s="19">
        <v>0.15</v>
      </c>
      <c r="N5" s="31">
        <f>L5*M5</f>
        <v>45</v>
      </c>
    </row>
    <row r="6" spans="4:14">
      <c r="D6" s="26" t="s">
        <v>410</v>
      </c>
      <c r="E6" s="15" t="s">
        <v>152</v>
      </c>
      <c r="F6" s="5">
        <v>2</v>
      </c>
      <c r="G6" s="16" t="s">
        <v>1299</v>
      </c>
      <c r="H6" s="16" t="s">
        <v>1257</v>
      </c>
      <c r="I6" s="4">
        <v>4688</v>
      </c>
      <c r="J6" s="4"/>
      <c r="K6" s="4">
        <f>10+702+180+35+25+1000+5</f>
        <v>1957</v>
      </c>
      <c r="L6" s="4">
        <f t="shared" ref="L6:L69" si="0">I6+J6-K6</f>
        <v>2731</v>
      </c>
      <c r="M6" s="19">
        <v>0.6</v>
      </c>
      <c r="N6" s="31">
        <f t="shared" ref="N6:N69" si="1">L6*M6</f>
        <v>1638.6</v>
      </c>
    </row>
    <row r="7" spans="4:14">
      <c r="D7" s="26" t="s">
        <v>411</v>
      </c>
      <c r="E7" s="15" t="s">
        <v>153</v>
      </c>
      <c r="F7" s="5">
        <v>3</v>
      </c>
      <c r="G7" s="4" t="s">
        <v>5</v>
      </c>
      <c r="H7" s="16" t="s">
        <v>1263</v>
      </c>
      <c r="I7" s="5"/>
      <c r="J7" s="5"/>
      <c r="K7" s="5"/>
      <c r="L7" s="4">
        <f t="shared" si="0"/>
        <v>0</v>
      </c>
      <c r="M7" s="19">
        <v>0.1</v>
      </c>
      <c r="N7" s="31">
        <f t="shared" si="1"/>
        <v>0</v>
      </c>
    </row>
    <row r="8" spans="4:14">
      <c r="D8" s="26" t="s">
        <v>412</v>
      </c>
      <c r="E8" s="15" t="s">
        <v>154</v>
      </c>
      <c r="F8" s="5">
        <v>4</v>
      </c>
      <c r="G8" s="4" t="s">
        <v>6</v>
      </c>
      <c r="H8" s="16" t="s">
        <v>1263</v>
      </c>
      <c r="I8" s="5">
        <v>300</v>
      </c>
      <c r="J8" s="5"/>
      <c r="K8" s="5"/>
      <c r="L8" s="4">
        <f t="shared" si="0"/>
        <v>300</v>
      </c>
      <c r="M8" s="19">
        <v>0.1</v>
      </c>
      <c r="N8" s="31">
        <f t="shared" si="1"/>
        <v>30</v>
      </c>
    </row>
    <row r="9" spans="4:14">
      <c r="D9" s="26" t="s">
        <v>413</v>
      </c>
      <c r="E9" s="15" t="s">
        <v>155</v>
      </c>
      <c r="F9" s="5">
        <v>5</v>
      </c>
      <c r="G9" s="4" t="s">
        <v>7</v>
      </c>
      <c r="H9" s="16" t="s">
        <v>1263</v>
      </c>
      <c r="I9" s="5"/>
      <c r="J9" s="5"/>
      <c r="K9" s="5"/>
      <c r="L9" s="4">
        <f t="shared" si="0"/>
        <v>0</v>
      </c>
      <c r="M9" s="20">
        <v>0.04</v>
      </c>
      <c r="N9" s="31">
        <f t="shared" si="1"/>
        <v>0</v>
      </c>
    </row>
    <row r="10" spans="4:14">
      <c r="D10" s="26" t="s">
        <v>414</v>
      </c>
      <c r="E10" s="15" t="s">
        <v>156</v>
      </c>
      <c r="F10" s="5">
        <v>6</v>
      </c>
      <c r="G10" s="16" t="s">
        <v>1381</v>
      </c>
      <c r="H10" s="16" t="s">
        <v>1257</v>
      </c>
      <c r="I10" s="5">
        <f>1000+400+6000</f>
        <v>7400</v>
      </c>
      <c r="J10" s="5">
        <f>2000+1000+8000</f>
        <v>11000</v>
      </c>
      <c r="K10" s="5">
        <f>20+400+702+702+50+1000+2000+10</f>
        <v>4884</v>
      </c>
      <c r="L10" s="4">
        <f t="shared" si="0"/>
        <v>13516</v>
      </c>
      <c r="M10" s="20">
        <v>0.35</v>
      </c>
      <c r="N10" s="31">
        <f t="shared" si="1"/>
        <v>4730.5999999999995</v>
      </c>
    </row>
    <row r="11" spans="4:14">
      <c r="D11" s="26" t="s">
        <v>415</v>
      </c>
      <c r="E11" s="15" t="s">
        <v>157</v>
      </c>
      <c r="F11" s="5">
        <v>7</v>
      </c>
      <c r="G11" s="4" t="s">
        <v>8</v>
      </c>
      <c r="H11" s="16" t="s">
        <v>1263</v>
      </c>
      <c r="I11" s="5"/>
      <c r="J11" s="5"/>
      <c r="K11" s="5"/>
      <c r="L11" s="4">
        <f t="shared" si="0"/>
        <v>0</v>
      </c>
      <c r="M11" s="20">
        <v>0.06</v>
      </c>
      <c r="N11" s="31">
        <f t="shared" si="1"/>
        <v>0</v>
      </c>
    </row>
    <row r="12" spans="4:14">
      <c r="D12" s="26" t="s">
        <v>416</v>
      </c>
      <c r="E12" s="15" t="s">
        <v>158</v>
      </c>
      <c r="F12" s="5">
        <v>8</v>
      </c>
      <c r="G12" s="4" t="s">
        <v>9</v>
      </c>
      <c r="H12" s="16" t="s">
        <v>1263</v>
      </c>
      <c r="I12" s="5"/>
      <c r="J12" s="5"/>
      <c r="K12" s="5"/>
      <c r="L12" s="4">
        <f t="shared" si="0"/>
        <v>0</v>
      </c>
      <c r="M12" s="20">
        <v>5.9</v>
      </c>
      <c r="N12" s="31">
        <f t="shared" si="1"/>
        <v>0</v>
      </c>
    </row>
    <row r="13" spans="4:14">
      <c r="D13" s="26" t="s">
        <v>417</v>
      </c>
      <c r="E13" s="15" t="s">
        <v>159</v>
      </c>
      <c r="F13" s="5">
        <v>9</v>
      </c>
      <c r="G13" s="16" t="s">
        <v>1225</v>
      </c>
      <c r="H13" s="16" t="s">
        <v>1263</v>
      </c>
      <c r="I13" s="5">
        <v>7090</v>
      </c>
      <c r="J13" s="5">
        <v>5000</v>
      </c>
      <c r="K13" s="5">
        <f>10+702+1000+5</f>
        <v>1717</v>
      </c>
      <c r="L13" s="4">
        <f t="shared" si="0"/>
        <v>10373</v>
      </c>
      <c r="M13" s="20">
        <v>0.04</v>
      </c>
      <c r="N13" s="31">
        <f t="shared" si="1"/>
        <v>414.92</v>
      </c>
    </row>
    <row r="14" spans="4:14">
      <c r="D14" s="26" t="s">
        <v>418</v>
      </c>
      <c r="E14" s="15" t="s">
        <v>160</v>
      </c>
      <c r="F14" s="5">
        <v>10</v>
      </c>
      <c r="G14" s="4" t="s">
        <v>10</v>
      </c>
      <c r="H14" s="16" t="s">
        <v>1263</v>
      </c>
      <c r="I14" s="5">
        <v>290</v>
      </c>
      <c r="J14" s="5">
        <v>1000</v>
      </c>
      <c r="K14" s="5">
        <v>1000</v>
      </c>
      <c r="L14" s="4">
        <f t="shared" si="0"/>
        <v>290</v>
      </c>
      <c r="M14" s="20">
        <v>0.1</v>
      </c>
      <c r="N14" s="31">
        <f t="shared" si="1"/>
        <v>29</v>
      </c>
    </row>
    <row r="15" spans="4:14">
      <c r="D15" s="26" t="s">
        <v>419</v>
      </c>
      <c r="E15" s="15" t="s">
        <v>161</v>
      </c>
      <c r="F15" s="5">
        <v>11</v>
      </c>
      <c r="G15" s="4" t="s">
        <v>11</v>
      </c>
      <c r="H15" s="16" t="s">
        <v>1263</v>
      </c>
      <c r="I15" s="5"/>
      <c r="J15" s="5"/>
      <c r="K15" s="5"/>
      <c r="L15" s="4">
        <f t="shared" si="0"/>
        <v>0</v>
      </c>
      <c r="M15" s="20">
        <v>0.05</v>
      </c>
      <c r="N15" s="31">
        <f t="shared" si="1"/>
        <v>0</v>
      </c>
    </row>
    <row r="16" spans="4:14">
      <c r="D16" s="26" t="s">
        <v>420</v>
      </c>
      <c r="E16" s="15" t="s">
        <v>162</v>
      </c>
      <c r="F16" s="5">
        <v>12</v>
      </c>
      <c r="G16" s="16" t="s">
        <v>895</v>
      </c>
      <c r="H16" s="16" t="s">
        <v>1263</v>
      </c>
      <c r="I16" s="5"/>
      <c r="J16" s="5"/>
      <c r="K16" s="5"/>
      <c r="L16" s="4">
        <f t="shared" si="0"/>
        <v>0</v>
      </c>
      <c r="M16" s="20">
        <v>1.1000000000000001</v>
      </c>
      <c r="N16" s="31">
        <f t="shared" si="1"/>
        <v>0</v>
      </c>
    </row>
    <row r="17" spans="4:14">
      <c r="D17" s="26" t="s">
        <v>421</v>
      </c>
      <c r="E17" s="15" t="s">
        <v>163</v>
      </c>
      <c r="F17" s="5">
        <v>13</v>
      </c>
      <c r="G17" s="4" t="s">
        <v>12</v>
      </c>
      <c r="H17" s="16" t="s">
        <v>1263</v>
      </c>
      <c r="I17" s="5">
        <v>1300</v>
      </c>
      <c r="J17" s="5"/>
      <c r="K17" s="5"/>
      <c r="L17" s="4">
        <f t="shared" si="0"/>
        <v>1300</v>
      </c>
      <c r="M17" s="20">
        <v>7.0000000000000007E-2</v>
      </c>
      <c r="N17" s="31">
        <f t="shared" si="1"/>
        <v>91.000000000000014</v>
      </c>
    </row>
    <row r="18" spans="4:14">
      <c r="D18" s="26" t="s">
        <v>422</v>
      </c>
      <c r="E18" s="15" t="s">
        <v>164</v>
      </c>
      <c r="F18" s="5">
        <v>14</v>
      </c>
      <c r="G18" s="4" t="s">
        <v>13</v>
      </c>
      <c r="H18" s="16" t="s">
        <v>1263</v>
      </c>
      <c r="I18" s="5">
        <v>1000</v>
      </c>
      <c r="J18" s="5"/>
      <c r="K18" s="5"/>
      <c r="L18" s="4">
        <f t="shared" si="0"/>
        <v>1000</v>
      </c>
      <c r="M18" s="20">
        <v>7.0000000000000007E-2</v>
      </c>
      <c r="N18" s="31">
        <f t="shared" si="1"/>
        <v>70</v>
      </c>
    </row>
    <row r="19" spans="4:14">
      <c r="D19" s="26" t="s">
        <v>423</v>
      </c>
      <c r="E19" s="15" t="s">
        <v>165</v>
      </c>
      <c r="F19" s="5">
        <v>15</v>
      </c>
      <c r="G19" s="4" t="s">
        <v>14</v>
      </c>
      <c r="H19" s="16" t="s">
        <v>1263</v>
      </c>
      <c r="I19" s="5">
        <v>1500</v>
      </c>
      <c r="J19" s="5"/>
      <c r="K19" s="5"/>
      <c r="L19" s="4">
        <f t="shared" si="0"/>
        <v>1500</v>
      </c>
      <c r="M19" s="20">
        <v>7.0000000000000007E-2</v>
      </c>
      <c r="N19" s="31">
        <f t="shared" si="1"/>
        <v>105.00000000000001</v>
      </c>
    </row>
    <row r="20" spans="4:14">
      <c r="D20" s="26" t="s">
        <v>424</v>
      </c>
      <c r="E20" s="15" t="s">
        <v>166</v>
      </c>
      <c r="F20" s="5">
        <v>16</v>
      </c>
      <c r="G20" s="4" t="s">
        <v>15</v>
      </c>
      <c r="H20" s="16" t="s">
        <v>1263</v>
      </c>
      <c r="I20" s="5"/>
      <c r="J20" s="5"/>
      <c r="K20" s="5"/>
      <c r="L20" s="4">
        <f t="shared" si="0"/>
        <v>0</v>
      </c>
      <c r="M20" s="20">
        <v>0.65</v>
      </c>
      <c r="N20" s="31">
        <f t="shared" si="1"/>
        <v>0</v>
      </c>
    </row>
    <row r="21" spans="4:14">
      <c r="D21" s="26" t="s">
        <v>425</v>
      </c>
      <c r="E21" s="15" t="s">
        <v>167</v>
      </c>
      <c r="F21" s="5">
        <v>17</v>
      </c>
      <c r="G21" s="4" t="s">
        <v>16</v>
      </c>
      <c r="H21" s="16" t="s">
        <v>1263</v>
      </c>
      <c r="I21" s="5">
        <v>1500</v>
      </c>
      <c r="J21" s="5"/>
      <c r="K21" s="5"/>
      <c r="L21" s="4">
        <f t="shared" si="0"/>
        <v>1500</v>
      </c>
      <c r="M21" s="20">
        <v>0.04</v>
      </c>
      <c r="N21" s="31">
        <f t="shared" si="1"/>
        <v>60</v>
      </c>
    </row>
    <row r="22" spans="4:14">
      <c r="D22" s="26" t="s">
        <v>426</v>
      </c>
      <c r="E22" s="15" t="s">
        <v>168</v>
      </c>
      <c r="F22" s="5">
        <v>18</v>
      </c>
      <c r="G22" s="4" t="s">
        <v>17</v>
      </c>
      <c r="H22" s="16" t="s">
        <v>1263</v>
      </c>
      <c r="I22" s="5">
        <v>0</v>
      </c>
      <c r="J22" s="5">
        <v>10000</v>
      </c>
      <c r="K22" s="5"/>
      <c r="L22" s="4">
        <f t="shared" si="0"/>
        <v>10000</v>
      </c>
      <c r="M22" s="20">
        <v>7.0000000000000007E-2</v>
      </c>
      <c r="N22" s="31">
        <f t="shared" si="1"/>
        <v>700.00000000000011</v>
      </c>
    </row>
    <row r="23" spans="4:14">
      <c r="D23" s="26" t="s">
        <v>427</v>
      </c>
      <c r="E23" s="15" t="s">
        <v>169</v>
      </c>
      <c r="F23" s="5">
        <v>19</v>
      </c>
      <c r="G23" s="4" t="s">
        <v>18</v>
      </c>
      <c r="H23" s="16" t="s">
        <v>1263</v>
      </c>
      <c r="I23" s="5"/>
      <c r="J23" s="5"/>
      <c r="K23" s="5"/>
      <c r="L23" s="4">
        <f t="shared" si="0"/>
        <v>0</v>
      </c>
      <c r="M23" s="20">
        <v>0.65</v>
      </c>
      <c r="N23" s="31">
        <f t="shared" si="1"/>
        <v>0</v>
      </c>
    </row>
    <row r="24" spans="4:14">
      <c r="D24" s="26" t="s">
        <v>428</v>
      </c>
      <c r="E24" s="15" t="s">
        <v>170</v>
      </c>
      <c r="F24" s="5">
        <v>20</v>
      </c>
      <c r="G24" s="16" t="s">
        <v>1264</v>
      </c>
      <c r="H24" s="16" t="s">
        <v>1263</v>
      </c>
      <c r="I24" s="5">
        <v>5000</v>
      </c>
      <c r="J24" s="5"/>
      <c r="K24" s="5"/>
      <c r="L24" s="4">
        <f t="shared" si="0"/>
        <v>5000</v>
      </c>
      <c r="M24" s="20">
        <v>1</v>
      </c>
      <c r="N24" s="31">
        <f t="shared" si="1"/>
        <v>5000</v>
      </c>
    </row>
    <row r="25" spans="4:14">
      <c r="D25" s="26" t="s">
        <v>429</v>
      </c>
      <c r="E25" s="15" t="s">
        <v>171</v>
      </c>
      <c r="F25" s="5">
        <v>21</v>
      </c>
      <c r="G25" s="4" t="s">
        <v>19</v>
      </c>
      <c r="H25" s="16" t="s">
        <v>1263</v>
      </c>
      <c r="I25" s="5"/>
      <c r="J25" s="5"/>
      <c r="K25" s="5"/>
      <c r="L25" s="4">
        <f t="shared" si="0"/>
        <v>0</v>
      </c>
      <c r="M25" s="20">
        <v>0.06</v>
      </c>
      <c r="N25" s="31">
        <f t="shared" si="1"/>
        <v>0</v>
      </c>
    </row>
    <row r="26" spans="4:14">
      <c r="D26" s="26" t="s">
        <v>430</v>
      </c>
      <c r="E26" s="15" t="s">
        <v>172</v>
      </c>
      <c r="F26" s="5">
        <v>22</v>
      </c>
      <c r="G26" s="4" t="s">
        <v>20</v>
      </c>
      <c r="H26" s="16" t="s">
        <v>1263</v>
      </c>
      <c r="I26" s="5">
        <v>280</v>
      </c>
      <c r="J26" s="5"/>
      <c r="K26" s="5"/>
      <c r="L26" s="4">
        <f t="shared" si="0"/>
        <v>280</v>
      </c>
      <c r="M26" s="20">
        <v>0.05</v>
      </c>
      <c r="N26" s="31">
        <f t="shared" si="1"/>
        <v>14</v>
      </c>
    </row>
    <row r="27" spans="4:14">
      <c r="D27" s="26" t="s">
        <v>431</v>
      </c>
      <c r="E27" s="15" t="s">
        <v>173</v>
      </c>
      <c r="F27" s="5">
        <v>23</v>
      </c>
      <c r="G27" s="5" t="s">
        <v>95</v>
      </c>
      <c r="H27" s="16" t="s">
        <v>1263</v>
      </c>
      <c r="I27" s="5"/>
      <c r="J27" s="5"/>
      <c r="K27" s="5"/>
      <c r="L27" s="4">
        <f t="shared" si="0"/>
        <v>0</v>
      </c>
      <c r="M27" s="20">
        <v>0.05</v>
      </c>
      <c r="N27" s="31">
        <f t="shared" si="1"/>
        <v>0</v>
      </c>
    </row>
    <row r="28" spans="4:14">
      <c r="D28" s="26" t="s">
        <v>432</v>
      </c>
      <c r="E28" s="15" t="s">
        <v>174</v>
      </c>
      <c r="F28" s="5">
        <v>24</v>
      </c>
      <c r="G28" s="5" t="s">
        <v>97</v>
      </c>
      <c r="H28" s="16" t="s">
        <v>1263</v>
      </c>
      <c r="I28" s="5"/>
      <c r="J28" s="5"/>
      <c r="K28" s="5"/>
      <c r="L28" s="4">
        <f t="shared" si="0"/>
        <v>0</v>
      </c>
      <c r="M28" s="20">
        <v>0.06</v>
      </c>
      <c r="N28" s="31">
        <f t="shared" si="1"/>
        <v>0</v>
      </c>
    </row>
    <row r="29" spans="4:14">
      <c r="D29" s="26" t="s">
        <v>433</v>
      </c>
      <c r="E29" s="15" t="s">
        <v>175</v>
      </c>
      <c r="F29" s="5">
        <v>25</v>
      </c>
      <c r="G29" s="5" t="s">
        <v>98</v>
      </c>
      <c r="H29" s="16" t="s">
        <v>1263</v>
      </c>
      <c r="I29" s="5">
        <v>2600</v>
      </c>
      <c r="J29" s="5"/>
      <c r="K29" s="5"/>
      <c r="L29" s="4">
        <f t="shared" si="0"/>
        <v>2600</v>
      </c>
      <c r="M29" s="20">
        <v>0.04</v>
      </c>
      <c r="N29" s="31">
        <f t="shared" si="1"/>
        <v>104</v>
      </c>
    </row>
    <row r="30" spans="4:14">
      <c r="D30" s="26" t="s">
        <v>434</v>
      </c>
      <c r="E30" s="15" t="s">
        <v>176</v>
      </c>
      <c r="F30" s="5">
        <v>26</v>
      </c>
      <c r="G30" s="5" t="s">
        <v>99</v>
      </c>
      <c r="H30" s="16" t="s">
        <v>1263</v>
      </c>
      <c r="I30" s="5">
        <v>5250</v>
      </c>
      <c r="J30" s="5">
        <v>5000</v>
      </c>
      <c r="K30" s="5"/>
      <c r="L30" s="4">
        <f t="shared" si="0"/>
        <v>10250</v>
      </c>
      <c r="M30" s="20">
        <v>0.06</v>
      </c>
      <c r="N30" s="31">
        <f t="shared" si="1"/>
        <v>615</v>
      </c>
    </row>
    <row r="31" spans="4:14">
      <c r="D31" s="26" t="s">
        <v>435</v>
      </c>
      <c r="E31" s="15" t="s">
        <v>177</v>
      </c>
      <c r="F31" s="5">
        <v>27</v>
      </c>
      <c r="G31" s="5" t="s">
        <v>100</v>
      </c>
      <c r="H31" s="16" t="s">
        <v>1263</v>
      </c>
      <c r="I31" s="5">
        <v>450</v>
      </c>
      <c r="J31" s="5"/>
      <c r="K31" s="5"/>
      <c r="L31" s="4">
        <f t="shared" si="0"/>
        <v>450</v>
      </c>
      <c r="M31" s="20">
        <v>0.06</v>
      </c>
      <c r="N31" s="31">
        <f t="shared" si="1"/>
        <v>27</v>
      </c>
    </row>
    <row r="32" spans="4:14">
      <c r="D32" s="26" t="s">
        <v>436</v>
      </c>
      <c r="E32" s="15" t="s">
        <v>178</v>
      </c>
      <c r="F32" s="5">
        <v>28</v>
      </c>
      <c r="G32" s="5" t="s">
        <v>101</v>
      </c>
      <c r="H32" s="16" t="s">
        <v>1263</v>
      </c>
      <c r="I32" s="5"/>
      <c r="J32" s="5"/>
      <c r="K32" s="5"/>
      <c r="L32" s="4">
        <f t="shared" si="0"/>
        <v>0</v>
      </c>
      <c r="M32" s="20">
        <v>0.05</v>
      </c>
      <c r="N32" s="31">
        <f t="shared" si="1"/>
        <v>0</v>
      </c>
    </row>
    <row r="33" spans="4:14">
      <c r="D33" s="26" t="s">
        <v>437</v>
      </c>
      <c r="E33" s="15" t="s">
        <v>179</v>
      </c>
      <c r="F33" s="5">
        <v>29</v>
      </c>
      <c r="G33" s="5" t="s">
        <v>102</v>
      </c>
      <c r="H33" s="16" t="s">
        <v>1263</v>
      </c>
      <c r="I33" s="5">
        <v>50</v>
      </c>
      <c r="J33" s="5"/>
      <c r="K33" s="5"/>
      <c r="L33" s="4">
        <f t="shared" si="0"/>
        <v>50</v>
      </c>
      <c r="M33" s="20">
        <v>0.05</v>
      </c>
      <c r="N33" s="31">
        <f t="shared" si="1"/>
        <v>2.5</v>
      </c>
    </row>
    <row r="34" spans="4:14">
      <c r="D34" s="26" t="s">
        <v>438</v>
      </c>
      <c r="E34" s="15" t="s">
        <v>180</v>
      </c>
      <c r="F34" s="5">
        <v>30</v>
      </c>
      <c r="G34" s="5" t="s">
        <v>103</v>
      </c>
      <c r="H34" s="16" t="s">
        <v>1263</v>
      </c>
      <c r="I34" s="5"/>
      <c r="J34" s="5"/>
      <c r="K34" s="5"/>
      <c r="L34" s="4">
        <f t="shared" si="0"/>
        <v>0</v>
      </c>
      <c r="M34" s="20">
        <v>0.05</v>
      </c>
      <c r="N34" s="31">
        <f t="shared" si="1"/>
        <v>0</v>
      </c>
    </row>
    <row r="35" spans="4:14">
      <c r="D35" s="26" t="s">
        <v>439</v>
      </c>
      <c r="E35" s="15" t="s">
        <v>181</v>
      </c>
      <c r="F35" s="5">
        <v>31</v>
      </c>
      <c r="G35" s="5" t="s">
        <v>104</v>
      </c>
      <c r="H35" s="16" t="s">
        <v>1263</v>
      </c>
      <c r="I35" s="5"/>
      <c r="J35" s="5"/>
      <c r="K35" s="5"/>
      <c r="L35" s="4">
        <f t="shared" si="0"/>
        <v>0</v>
      </c>
      <c r="M35" s="20">
        <v>0.06</v>
      </c>
      <c r="N35" s="31">
        <f t="shared" si="1"/>
        <v>0</v>
      </c>
    </row>
    <row r="36" spans="4:14">
      <c r="D36" s="26" t="s">
        <v>440</v>
      </c>
      <c r="E36" s="15" t="s">
        <v>182</v>
      </c>
      <c r="F36" s="5">
        <v>32</v>
      </c>
      <c r="G36" s="5" t="s">
        <v>105</v>
      </c>
      <c r="H36" s="16" t="s">
        <v>1263</v>
      </c>
      <c r="I36" s="5"/>
      <c r="J36" s="5"/>
      <c r="K36" s="5"/>
      <c r="L36" s="4">
        <f t="shared" si="0"/>
        <v>0</v>
      </c>
      <c r="M36" s="20">
        <v>0.06</v>
      </c>
      <c r="N36" s="31">
        <f t="shared" si="1"/>
        <v>0</v>
      </c>
    </row>
    <row r="37" spans="4:14">
      <c r="D37" s="26" t="s">
        <v>441</v>
      </c>
      <c r="E37" s="15" t="s">
        <v>183</v>
      </c>
      <c r="F37" s="5">
        <v>33</v>
      </c>
      <c r="G37" s="5" t="s">
        <v>106</v>
      </c>
      <c r="H37" s="16" t="s">
        <v>1263</v>
      </c>
      <c r="I37" s="5">
        <v>60</v>
      </c>
      <c r="J37" s="5">
        <v>700</v>
      </c>
      <c r="K37" s="5">
        <f>702+5</f>
        <v>707</v>
      </c>
      <c r="L37" s="4">
        <v>5000</v>
      </c>
      <c r="M37" s="20">
        <v>0.05</v>
      </c>
      <c r="N37" s="31">
        <f t="shared" si="1"/>
        <v>250</v>
      </c>
    </row>
    <row r="38" spans="4:14">
      <c r="D38" s="26" t="s">
        <v>442</v>
      </c>
      <c r="E38" s="15" t="s">
        <v>184</v>
      </c>
      <c r="F38" s="5">
        <v>34</v>
      </c>
      <c r="G38" s="9" t="s">
        <v>1255</v>
      </c>
      <c r="H38" s="16" t="s">
        <v>1263</v>
      </c>
      <c r="I38" s="5">
        <v>1200</v>
      </c>
      <c r="J38" s="5"/>
      <c r="K38" s="5"/>
      <c r="L38" s="4">
        <f t="shared" si="0"/>
        <v>1200</v>
      </c>
      <c r="M38" s="20">
        <v>0.05</v>
      </c>
      <c r="N38" s="31">
        <f t="shared" si="1"/>
        <v>60</v>
      </c>
    </row>
    <row r="39" spans="4:14">
      <c r="D39" s="26" t="s">
        <v>443</v>
      </c>
      <c r="E39" s="15" t="s">
        <v>185</v>
      </c>
      <c r="F39" s="5">
        <v>35</v>
      </c>
      <c r="G39" s="5" t="s">
        <v>6</v>
      </c>
      <c r="H39" s="16" t="s">
        <v>1263</v>
      </c>
      <c r="I39" s="5"/>
      <c r="J39" s="5"/>
      <c r="K39" s="5"/>
      <c r="L39" s="4">
        <f t="shared" si="0"/>
        <v>0</v>
      </c>
      <c r="M39" s="20">
        <v>0.06</v>
      </c>
      <c r="N39" s="31">
        <f t="shared" si="1"/>
        <v>0</v>
      </c>
    </row>
    <row r="40" spans="4:14">
      <c r="D40" s="26" t="s">
        <v>444</v>
      </c>
      <c r="E40" s="15" t="s">
        <v>186</v>
      </c>
      <c r="F40" s="5">
        <v>36</v>
      </c>
      <c r="G40" s="5" t="s">
        <v>108</v>
      </c>
      <c r="H40" s="16" t="s">
        <v>1263</v>
      </c>
      <c r="I40" s="5"/>
      <c r="J40" s="5"/>
      <c r="K40" s="5"/>
      <c r="L40" s="4">
        <f t="shared" si="0"/>
        <v>0</v>
      </c>
      <c r="M40" s="20">
        <v>0.06</v>
      </c>
      <c r="N40" s="31">
        <f t="shared" si="1"/>
        <v>0</v>
      </c>
    </row>
    <row r="41" spans="4:14">
      <c r="D41" s="26" t="s">
        <v>445</v>
      </c>
      <c r="E41" s="15" t="s">
        <v>187</v>
      </c>
      <c r="F41" s="5">
        <v>37</v>
      </c>
      <c r="G41" s="5" t="s">
        <v>109</v>
      </c>
      <c r="H41" s="16" t="s">
        <v>1263</v>
      </c>
      <c r="I41" s="5"/>
      <c r="J41" s="5"/>
      <c r="K41" s="5"/>
      <c r="L41" s="4">
        <f t="shared" si="0"/>
        <v>0</v>
      </c>
      <c r="M41" s="20">
        <v>0.06</v>
      </c>
      <c r="N41" s="31">
        <f t="shared" si="1"/>
        <v>0</v>
      </c>
    </row>
    <row r="42" spans="4:14">
      <c r="D42" s="26" t="s">
        <v>446</v>
      </c>
      <c r="E42" s="15" t="s">
        <v>188</v>
      </c>
      <c r="F42" s="5">
        <v>38</v>
      </c>
      <c r="G42" s="5" t="s">
        <v>110</v>
      </c>
      <c r="H42" s="16" t="s">
        <v>1263</v>
      </c>
      <c r="I42" s="5">
        <v>95</v>
      </c>
      <c r="J42" s="5"/>
      <c r="K42" s="5"/>
      <c r="L42" s="4">
        <f t="shared" si="0"/>
        <v>95</v>
      </c>
      <c r="M42" s="20">
        <v>0.05</v>
      </c>
      <c r="N42" s="31">
        <f t="shared" si="1"/>
        <v>4.75</v>
      </c>
    </row>
    <row r="43" spans="4:14">
      <c r="D43" s="26" t="s">
        <v>447</v>
      </c>
      <c r="E43" s="15" t="s">
        <v>189</v>
      </c>
      <c r="F43" s="5">
        <v>39</v>
      </c>
      <c r="G43" s="5" t="s">
        <v>111</v>
      </c>
      <c r="H43" s="16" t="s">
        <v>1263</v>
      </c>
      <c r="I43" s="9">
        <v>2100</v>
      </c>
      <c r="J43" s="9"/>
      <c r="K43" s="9"/>
      <c r="L43" s="4">
        <f t="shared" si="0"/>
        <v>2100</v>
      </c>
      <c r="M43" s="20">
        <v>0.05</v>
      </c>
      <c r="N43" s="31">
        <f t="shared" si="1"/>
        <v>105</v>
      </c>
    </row>
    <row r="44" spans="4:14">
      <c r="D44" s="26" t="s">
        <v>448</v>
      </c>
      <c r="E44" s="15" t="s">
        <v>190</v>
      </c>
      <c r="F44" s="5">
        <v>40</v>
      </c>
      <c r="G44" s="5" t="s">
        <v>112</v>
      </c>
      <c r="H44" s="16" t="s">
        <v>1263</v>
      </c>
      <c r="I44" s="5">
        <v>500</v>
      </c>
      <c r="J44" s="5"/>
      <c r="K44" s="5"/>
      <c r="L44" s="4">
        <f t="shared" si="0"/>
        <v>500</v>
      </c>
      <c r="M44" s="20">
        <v>0.05</v>
      </c>
      <c r="N44" s="31">
        <f t="shared" si="1"/>
        <v>25</v>
      </c>
    </row>
    <row r="45" spans="4:14">
      <c r="D45" s="26" t="s">
        <v>449</v>
      </c>
      <c r="E45" s="15" t="s">
        <v>191</v>
      </c>
      <c r="F45" s="5">
        <v>41</v>
      </c>
      <c r="G45" s="5" t="s">
        <v>113</v>
      </c>
      <c r="H45" s="16" t="s">
        <v>1263</v>
      </c>
      <c r="I45" s="5"/>
      <c r="J45" s="5"/>
      <c r="K45" s="5"/>
      <c r="L45" s="4">
        <f t="shared" si="0"/>
        <v>0</v>
      </c>
      <c r="M45" s="20">
        <v>0.05</v>
      </c>
      <c r="N45" s="31">
        <f t="shared" si="1"/>
        <v>0</v>
      </c>
    </row>
    <row r="46" spans="4:14">
      <c r="D46" s="26" t="s">
        <v>450</v>
      </c>
      <c r="E46" s="15" t="s">
        <v>192</v>
      </c>
      <c r="F46" s="5">
        <v>42</v>
      </c>
      <c r="G46" s="5" t="s">
        <v>114</v>
      </c>
      <c r="H46" s="16" t="s">
        <v>1263</v>
      </c>
      <c r="I46" s="5">
        <v>100</v>
      </c>
      <c r="J46" s="5"/>
      <c r="K46" s="5"/>
      <c r="L46" s="4">
        <f t="shared" si="0"/>
        <v>100</v>
      </c>
      <c r="M46" s="20">
        <v>0.05</v>
      </c>
      <c r="N46" s="31">
        <f t="shared" si="1"/>
        <v>5</v>
      </c>
    </row>
    <row r="47" spans="4:14">
      <c r="D47" s="26" t="s">
        <v>451</v>
      </c>
      <c r="E47" s="15" t="s">
        <v>193</v>
      </c>
      <c r="F47" s="5">
        <v>43</v>
      </c>
      <c r="G47" s="5" t="s">
        <v>8</v>
      </c>
      <c r="H47" s="16" t="s">
        <v>1263</v>
      </c>
      <c r="I47" s="5">
        <v>2375</v>
      </c>
      <c r="J47" s="5"/>
      <c r="K47" s="5">
        <v>1000</v>
      </c>
      <c r="L47" s="4">
        <f t="shared" si="0"/>
        <v>1375</v>
      </c>
      <c r="M47" s="20">
        <v>0.05</v>
      </c>
      <c r="N47" s="31">
        <f t="shared" si="1"/>
        <v>68.75</v>
      </c>
    </row>
    <row r="48" spans="4:14">
      <c r="D48" s="26" t="s">
        <v>452</v>
      </c>
      <c r="E48" s="15" t="s">
        <v>194</v>
      </c>
      <c r="F48" s="5">
        <v>44</v>
      </c>
      <c r="G48" s="5" t="s">
        <v>115</v>
      </c>
      <c r="H48" s="16" t="s">
        <v>1263</v>
      </c>
      <c r="I48" s="5"/>
      <c r="J48" s="5"/>
      <c r="K48" s="5"/>
      <c r="L48" s="4">
        <f t="shared" si="0"/>
        <v>0</v>
      </c>
      <c r="M48" s="20">
        <v>0.05</v>
      </c>
      <c r="N48" s="31">
        <f t="shared" si="1"/>
        <v>0</v>
      </c>
    </row>
    <row r="49" spans="4:14">
      <c r="D49" s="26" t="s">
        <v>453</v>
      </c>
      <c r="E49" s="15" t="s">
        <v>195</v>
      </c>
      <c r="F49" s="5">
        <v>45</v>
      </c>
      <c r="G49" s="5" t="s">
        <v>116</v>
      </c>
      <c r="H49" s="16" t="s">
        <v>1263</v>
      </c>
      <c r="I49" s="5"/>
      <c r="J49" s="5"/>
      <c r="K49" s="5"/>
      <c r="L49" s="4">
        <f t="shared" si="0"/>
        <v>0</v>
      </c>
      <c r="M49" s="20">
        <v>0.06</v>
      </c>
      <c r="N49" s="31">
        <f t="shared" si="1"/>
        <v>0</v>
      </c>
    </row>
    <row r="50" spans="4:14">
      <c r="D50" s="26" t="s">
        <v>454</v>
      </c>
      <c r="E50" s="15" t="s">
        <v>196</v>
      </c>
      <c r="F50" s="5">
        <v>46</v>
      </c>
      <c r="G50" s="9" t="s">
        <v>117</v>
      </c>
      <c r="H50" s="16" t="s">
        <v>1263</v>
      </c>
      <c r="I50" s="5">
        <v>7000</v>
      </c>
      <c r="J50" s="5">
        <v>5000</v>
      </c>
      <c r="K50" s="5">
        <f>1+1000</f>
        <v>1001</v>
      </c>
      <c r="L50" s="4">
        <f t="shared" si="0"/>
        <v>10999</v>
      </c>
      <c r="M50" s="20">
        <v>0.05</v>
      </c>
      <c r="N50" s="31">
        <f t="shared" si="1"/>
        <v>549.95000000000005</v>
      </c>
    </row>
    <row r="51" spans="4:14">
      <c r="D51" s="26" t="s">
        <v>455</v>
      </c>
      <c r="E51" s="15" t="s">
        <v>197</v>
      </c>
      <c r="F51" s="5">
        <v>47</v>
      </c>
      <c r="G51" s="5" t="s">
        <v>94</v>
      </c>
      <c r="H51" s="16" t="s">
        <v>1263</v>
      </c>
      <c r="I51" s="5"/>
      <c r="J51" s="5"/>
      <c r="K51" s="5"/>
      <c r="L51" s="4">
        <f t="shared" si="0"/>
        <v>0</v>
      </c>
      <c r="M51" s="20">
        <v>0.39</v>
      </c>
      <c r="N51" s="31">
        <f t="shared" si="1"/>
        <v>0</v>
      </c>
    </row>
    <row r="52" spans="4:14">
      <c r="D52" s="26" t="s">
        <v>456</v>
      </c>
      <c r="E52" s="15" t="s">
        <v>198</v>
      </c>
      <c r="F52" s="5">
        <v>48</v>
      </c>
      <c r="G52" s="5" t="s">
        <v>118</v>
      </c>
      <c r="H52" s="16" t="s">
        <v>1263</v>
      </c>
      <c r="I52" s="5">
        <v>0</v>
      </c>
      <c r="J52" s="5">
        <v>700</v>
      </c>
      <c r="K52" s="5">
        <v>700</v>
      </c>
      <c r="L52" s="4">
        <f t="shared" si="0"/>
        <v>0</v>
      </c>
      <c r="M52" s="20">
        <v>0.1</v>
      </c>
      <c r="N52" s="31">
        <f t="shared" si="1"/>
        <v>0</v>
      </c>
    </row>
    <row r="53" spans="4:14">
      <c r="D53" s="26" t="s">
        <v>457</v>
      </c>
      <c r="E53" s="15" t="s">
        <v>199</v>
      </c>
      <c r="F53" s="5">
        <v>49</v>
      </c>
      <c r="G53" s="5" t="s">
        <v>113</v>
      </c>
      <c r="H53" s="16" t="s">
        <v>1263</v>
      </c>
      <c r="I53" s="5"/>
      <c r="J53" s="5"/>
      <c r="K53" s="5"/>
      <c r="L53" s="4">
        <f t="shared" si="0"/>
        <v>0</v>
      </c>
      <c r="M53" s="20">
        <v>0.05</v>
      </c>
      <c r="N53" s="31">
        <f t="shared" si="1"/>
        <v>0</v>
      </c>
    </row>
    <row r="54" spans="4:14">
      <c r="D54" s="26" t="s">
        <v>458</v>
      </c>
      <c r="E54" s="15" t="s">
        <v>200</v>
      </c>
      <c r="F54" s="5">
        <v>50</v>
      </c>
      <c r="G54" s="5" t="s">
        <v>119</v>
      </c>
      <c r="H54" s="16" t="s">
        <v>1263</v>
      </c>
      <c r="I54" s="5"/>
      <c r="J54" s="5"/>
      <c r="K54" s="5"/>
      <c r="L54" s="4">
        <f t="shared" si="0"/>
        <v>0</v>
      </c>
      <c r="M54" s="21">
        <v>1</v>
      </c>
      <c r="N54" s="31">
        <f t="shared" si="1"/>
        <v>0</v>
      </c>
    </row>
    <row r="55" spans="4:14">
      <c r="D55" s="26" t="s">
        <v>459</v>
      </c>
      <c r="E55" s="15" t="s">
        <v>201</v>
      </c>
      <c r="F55" s="5">
        <v>51</v>
      </c>
      <c r="G55" s="5" t="s">
        <v>120</v>
      </c>
      <c r="H55" s="16" t="s">
        <v>1263</v>
      </c>
      <c r="I55" s="5"/>
      <c r="J55" s="5"/>
      <c r="K55" s="5"/>
      <c r="L55" s="4">
        <f t="shared" si="0"/>
        <v>0</v>
      </c>
      <c r="M55" s="21">
        <v>0.85</v>
      </c>
      <c r="N55" s="31">
        <f t="shared" si="1"/>
        <v>0</v>
      </c>
    </row>
    <row r="56" spans="4:14">
      <c r="D56" s="26" t="s">
        <v>460</v>
      </c>
      <c r="E56" s="15" t="s">
        <v>202</v>
      </c>
      <c r="F56" s="5">
        <v>52</v>
      </c>
      <c r="G56" s="5" t="s">
        <v>121</v>
      </c>
      <c r="H56" s="16" t="s">
        <v>1263</v>
      </c>
      <c r="I56" s="5">
        <v>96</v>
      </c>
      <c r="J56" s="5"/>
      <c r="K56" s="5"/>
      <c r="L56" s="4">
        <f t="shared" si="0"/>
        <v>96</v>
      </c>
      <c r="M56" s="21">
        <v>0.18</v>
      </c>
      <c r="N56" s="31">
        <f t="shared" si="1"/>
        <v>17.28</v>
      </c>
    </row>
    <row r="57" spans="4:14">
      <c r="D57" s="26" t="s">
        <v>461</v>
      </c>
      <c r="E57" s="15" t="s">
        <v>203</v>
      </c>
      <c r="F57" s="5">
        <v>53</v>
      </c>
      <c r="G57" s="5" t="s">
        <v>122</v>
      </c>
      <c r="H57" s="16" t="s">
        <v>1263</v>
      </c>
      <c r="I57" s="5"/>
      <c r="J57" s="5"/>
      <c r="K57" s="5"/>
      <c r="L57" s="4">
        <f t="shared" si="0"/>
        <v>0</v>
      </c>
      <c r="M57" s="21">
        <v>0.09</v>
      </c>
      <c r="N57" s="31">
        <f t="shared" si="1"/>
        <v>0</v>
      </c>
    </row>
    <row r="58" spans="4:14">
      <c r="D58" s="26" t="s">
        <v>462</v>
      </c>
      <c r="E58" s="15" t="s">
        <v>204</v>
      </c>
      <c r="F58" s="5">
        <v>54</v>
      </c>
      <c r="G58" s="5" t="s">
        <v>123</v>
      </c>
      <c r="H58" s="16" t="s">
        <v>1263</v>
      </c>
      <c r="I58" s="5"/>
      <c r="J58" s="5"/>
      <c r="K58" s="5"/>
      <c r="L58" s="4">
        <f t="shared" si="0"/>
        <v>0</v>
      </c>
      <c r="M58" s="21">
        <v>0.06</v>
      </c>
      <c r="N58" s="31">
        <f t="shared" si="1"/>
        <v>0</v>
      </c>
    </row>
    <row r="59" spans="4:14">
      <c r="D59" s="26" t="s">
        <v>463</v>
      </c>
      <c r="E59" s="15" t="s">
        <v>205</v>
      </c>
      <c r="F59" s="5">
        <v>55</v>
      </c>
      <c r="G59" s="5" t="s">
        <v>124</v>
      </c>
      <c r="H59" s="16" t="s">
        <v>1263</v>
      </c>
      <c r="I59" s="5">
        <v>185</v>
      </c>
      <c r="J59" s="5"/>
      <c r="K59" s="5"/>
      <c r="L59" s="4">
        <f t="shared" si="0"/>
        <v>185</v>
      </c>
      <c r="M59" s="21">
        <v>0.06</v>
      </c>
      <c r="N59" s="31">
        <f t="shared" si="1"/>
        <v>11.1</v>
      </c>
    </row>
    <row r="60" spans="4:14">
      <c r="D60" s="26" t="s">
        <v>464</v>
      </c>
      <c r="E60" s="15" t="s">
        <v>206</v>
      </c>
      <c r="F60" s="5">
        <v>56</v>
      </c>
      <c r="G60" s="5" t="s">
        <v>95</v>
      </c>
      <c r="H60" s="16" t="s">
        <v>1263</v>
      </c>
      <c r="I60" s="5"/>
      <c r="J60" s="5"/>
      <c r="K60" s="5"/>
      <c r="L60" s="4">
        <f t="shared" si="0"/>
        <v>0</v>
      </c>
      <c r="M60" s="20">
        <v>0.05</v>
      </c>
      <c r="N60" s="31">
        <f t="shared" si="1"/>
        <v>0</v>
      </c>
    </row>
    <row r="61" spans="4:14">
      <c r="D61" s="26" t="s">
        <v>465</v>
      </c>
      <c r="E61" s="15" t="s">
        <v>207</v>
      </c>
      <c r="F61" s="5">
        <v>57</v>
      </c>
      <c r="G61" s="5" t="s">
        <v>97</v>
      </c>
      <c r="H61" s="16" t="s">
        <v>1263</v>
      </c>
      <c r="I61" s="5"/>
      <c r="J61" s="5"/>
      <c r="K61" s="5"/>
      <c r="L61" s="4">
        <f t="shared" si="0"/>
        <v>0</v>
      </c>
      <c r="M61" s="20">
        <v>0.06</v>
      </c>
      <c r="N61" s="31">
        <f t="shared" si="1"/>
        <v>0</v>
      </c>
    </row>
    <row r="62" spans="4:14">
      <c r="D62" s="26" t="s">
        <v>466</v>
      </c>
      <c r="E62" s="15" t="s">
        <v>208</v>
      </c>
      <c r="F62" s="5">
        <v>58</v>
      </c>
      <c r="G62" s="5" t="s">
        <v>98</v>
      </c>
      <c r="H62" s="16" t="s">
        <v>1263</v>
      </c>
      <c r="I62" s="5"/>
      <c r="J62" s="5"/>
      <c r="K62" s="5"/>
      <c r="L62" s="4">
        <f t="shared" si="0"/>
        <v>0</v>
      </c>
      <c r="M62" s="20">
        <v>0.04</v>
      </c>
      <c r="N62" s="31">
        <f t="shared" si="1"/>
        <v>0</v>
      </c>
    </row>
    <row r="63" spans="4:14">
      <c r="D63" s="26" t="s">
        <v>467</v>
      </c>
      <c r="E63" s="15" t="s">
        <v>209</v>
      </c>
      <c r="F63" s="5">
        <v>59</v>
      </c>
      <c r="G63" s="5" t="s">
        <v>99</v>
      </c>
      <c r="H63" s="16" t="s">
        <v>1263</v>
      </c>
      <c r="I63" s="5"/>
      <c r="J63" s="5"/>
      <c r="K63" s="5"/>
      <c r="L63" s="4">
        <f t="shared" si="0"/>
        <v>0</v>
      </c>
      <c r="M63" s="20">
        <v>0.06</v>
      </c>
      <c r="N63" s="31">
        <f t="shared" si="1"/>
        <v>0</v>
      </c>
    </row>
    <row r="64" spans="4:14">
      <c r="D64" s="26" t="s">
        <v>468</v>
      </c>
      <c r="E64" s="15" t="s">
        <v>210</v>
      </c>
      <c r="F64" s="5">
        <v>60</v>
      </c>
      <c r="G64" s="5" t="s">
        <v>100</v>
      </c>
      <c r="H64" s="16" t="s">
        <v>1263</v>
      </c>
      <c r="I64" s="5">
        <v>0</v>
      </c>
      <c r="J64" s="5">
        <f>1000+5000</f>
        <v>6000</v>
      </c>
      <c r="K64" s="5">
        <v>1000</v>
      </c>
      <c r="L64" s="4">
        <f t="shared" si="0"/>
        <v>5000</v>
      </c>
      <c r="M64" s="20">
        <v>0.06</v>
      </c>
      <c r="N64" s="31">
        <f t="shared" si="1"/>
        <v>300</v>
      </c>
    </row>
    <row r="65" spans="4:14">
      <c r="D65" s="26" t="s">
        <v>469</v>
      </c>
      <c r="E65" s="15" t="s">
        <v>211</v>
      </c>
      <c r="F65" s="5">
        <v>61</v>
      </c>
      <c r="G65" s="5" t="s">
        <v>101</v>
      </c>
      <c r="H65" s="16" t="s">
        <v>1263</v>
      </c>
      <c r="I65" s="5">
        <v>300</v>
      </c>
      <c r="J65" s="5"/>
      <c r="K65" s="5">
        <v>1</v>
      </c>
      <c r="L65" s="4">
        <f t="shared" si="0"/>
        <v>299</v>
      </c>
      <c r="M65" s="20">
        <v>0.05</v>
      </c>
      <c r="N65" s="31">
        <f t="shared" si="1"/>
        <v>14.950000000000001</v>
      </c>
    </row>
    <row r="66" spans="4:14">
      <c r="D66" s="26" t="s">
        <v>470</v>
      </c>
      <c r="E66" s="15" t="s">
        <v>212</v>
      </c>
      <c r="F66" s="5">
        <v>62</v>
      </c>
      <c r="G66" s="5" t="s">
        <v>102</v>
      </c>
      <c r="H66" s="16" t="s">
        <v>1263</v>
      </c>
      <c r="I66" s="5"/>
      <c r="J66" s="5"/>
      <c r="K66" s="5"/>
      <c r="L66" s="4">
        <f t="shared" si="0"/>
        <v>0</v>
      </c>
      <c r="M66" s="20">
        <v>0.05</v>
      </c>
      <c r="N66" s="31">
        <f t="shared" si="1"/>
        <v>0</v>
      </c>
    </row>
    <row r="67" spans="4:14">
      <c r="D67" s="26" t="s">
        <v>471</v>
      </c>
      <c r="E67" s="15" t="s">
        <v>213</v>
      </c>
      <c r="F67" s="5">
        <v>63</v>
      </c>
      <c r="G67" s="9" t="s">
        <v>1312</v>
      </c>
      <c r="H67" s="16" t="s">
        <v>1263</v>
      </c>
      <c r="I67" s="5">
        <v>0</v>
      </c>
      <c r="J67" s="5">
        <v>700</v>
      </c>
      <c r="K67" s="5">
        <v>700</v>
      </c>
      <c r="L67" s="4">
        <f t="shared" si="0"/>
        <v>0</v>
      </c>
      <c r="M67" s="20">
        <v>0.1</v>
      </c>
      <c r="N67" s="31">
        <f t="shared" si="1"/>
        <v>0</v>
      </c>
    </row>
    <row r="68" spans="4:14">
      <c r="D68" s="26" t="s">
        <v>472</v>
      </c>
      <c r="E68" s="15" t="s">
        <v>214</v>
      </c>
      <c r="F68" s="5">
        <v>64</v>
      </c>
      <c r="G68" s="5" t="s">
        <v>104</v>
      </c>
      <c r="H68" s="16" t="s">
        <v>1263</v>
      </c>
      <c r="I68" s="5"/>
      <c r="J68" s="5"/>
      <c r="K68" s="5"/>
      <c r="L68" s="4">
        <f t="shared" si="0"/>
        <v>0</v>
      </c>
      <c r="M68" s="20">
        <v>0.06</v>
      </c>
      <c r="N68" s="31">
        <f t="shared" si="1"/>
        <v>0</v>
      </c>
    </row>
    <row r="69" spans="4:14">
      <c r="D69" s="26" t="s">
        <v>473</v>
      </c>
      <c r="E69" s="15" t="s">
        <v>215</v>
      </c>
      <c r="F69" s="5">
        <v>65</v>
      </c>
      <c r="G69" s="5" t="s">
        <v>105</v>
      </c>
      <c r="H69" s="16" t="s">
        <v>1263</v>
      </c>
      <c r="I69" s="5"/>
      <c r="J69" s="5"/>
      <c r="K69" s="5"/>
      <c r="L69" s="4">
        <f t="shared" si="0"/>
        <v>0</v>
      </c>
      <c r="M69" s="20">
        <v>0.06</v>
      </c>
      <c r="N69" s="31">
        <f t="shared" si="1"/>
        <v>0</v>
      </c>
    </row>
    <row r="70" spans="4:14">
      <c r="D70" s="26" t="s">
        <v>474</v>
      </c>
      <c r="E70" s="15" t="s">
        <v>216</v>
      </c>
      <c r="F70" s="5">
        <v>66</v>
      </c>
      <c r="G70" s="5" t="s">
        <v>106</v>
      </c>
      <c r="H70" s="16" t="s">
        <v>1263</v>
      </c>
      <c r="I70" s="5"/>
      <c r="J70" s="5"/>
      <c r="K70" s="5"/>
      <c r="L70" s="4">
        <f t="shared" ref="L70:L133" si="2">I70+J70-K70</f>
        <v>0</v>
      </c>
      <c r="M70" s="20">
        <v>0.06</v>
      </c>
      <c r="N70" s="31">
        <f t="shared" ref="N70:N134" si="3">L70*M70</f>
        <v>0</v>
      </c>
    </row>
    <row r="71" spans="4:14">
      <c r="D71" s="26" t="s">
        <v>475</v>
      </c>
      <c r="E71" s="15" t="s">
        <v>217</v>
      </c>
      <c r="F71" s="5">
        <v>67</v>
      </c>
      <c r="G71" s="5" t="s">
        <v>107</v>
      </c>
      <c r="H71" s="16" t="s">
        <v>1263</v>
      </c>
      <c r="I71" s="5"/>
      <c r="J71" s="5"/>
      <c r="K71" s="5"/>
      <c r="L71" s="4">
        <f t="shared" si="2"/>
        <v>0</v>
      </c>
      <c r="M71" s="20">
        <v>0.05</v>
      </c>
      <c r="N71" s="31">
        <f t="shared" si="3"/>
        <v>0</v>
      </c>
    </row>
    <row r="72" spans="4:14">
      <c r="D72" s="26" t="s">
        <v>476</v>
      </c>
      <c r="E72" s="15" t="s">
        <v>218</v>
      </c>
      <c r="F72" s="5">
        <v>68</v>
      </c>
      <c r="G72" s="5" t="s">
        <v>6</v>
      </c>
      <c r="H72" s="16" t="s">
        <v>1263</v>
      </c>
      <c r="I72" s="5"/>
      <c r="J72" s="5"/>
      <c r="K72" s="5"/>
      <c r="L72" s="4">
        <f t="shared" si="2"/>
        <v>0</v>
      </c>
      <c r="M72" s="20">
        <v>0.06</v>
      </c>
      <c r="N72" s="31">
        <f t="shared" si="3"/>
        <v>0</v>
      </c>
    </row>
    <row r="73" spans="4:14">
      <c r="D73" s="26" t="s">
        <v>477</v>
      </c>
      <c r="E73" s="15" t="s">
        <v>219</v>
      </c>
      <c r="F73" s="5">
        <v>69</v>
      </c>
      <c r="G73" s="5" t="s">
        <v>108</v>
      </c>
      <c r="H73" s="16" t="s">
        <v>1263</v>
      </c>
      <c r="I73" s="5"/>
      <c r="J73" s="5"/>
      <c r="K73" s="5"/>
      <c r="L73" s="4">
        <f t="shared" si="2"/>
        <v>0</v>
      </c>
      <c r="M73" s="20">
        <v>0.06</v>
      </c>
      <c r="N73" s="31">
        <f t="shared" si="3"/>
        <v>0</v>
      </c>
    </row>
    <row r="74" spans="4:14">
      <c r="D74" s="26" t="s">
        <v>478</v>
      </c>
      <c r="E74" s="15" t="s">
        <v>220</v>
      </c>
      <c r="F74" s="5">
        <v>70</v>
      </c>
      <c r="G74" s="9" t="s">
        <v>1313</v>
      </c>
      <c r="H74" s="16" t="s">
        <v>1263</v>
      </c>
      <c r="I74" s="5">
        <v>0</v>
      </c>
      <c r="J74" s="5">
        <v>700</v>
      </c>
      <c r="K74" s="5"/>
      <c r="L74" s="4">
        <f t="shared" si="2"/>
        <v>700</v>
      </c>
      <c r="M74" s="20">
        <v>0.1</v>
      </c>
      <c r="N74" s="31">
        <f t="shared" si="3"/>
        <v>70</v>
      </c>
    </row>
    <row r="75" spans="4:14">
      <c r="D75" s="26" t="s">
        <v>479</v>
      </c>
      <c r="E75" s="15" t="s">
        <v>221</v>
      </c>
      <c r="F75" s="5">
        <v>71</v>
      </c>
      <c r="G75" s="5" t="s">
        <v>110</v>
      </c>
      <c r="H75" s="16" t="s">
        <v>1263</v>
      </c>
      <c r="I75" s="5"/>
      <c r="J75" s="5"/>
      <c r="K75" s="5"/>
      <c r="L75" s="4">
        <f t="shared" si="2"/>
        <v>0</v>
      </c>
      <c r="M75" s="20">
        <v>0.05</v>
      </c>
      <c r="N75" s="31">
        <f t="shared" si="3"/>
        <v>0</v>
      </c>
    </row>
    <row r="76" spans="4:14">
      <c r="D76" s="26" t="s">
        <v>480</v>
      </c>
      <c r="E76" s="15" t="s">
        <v>222</v>
      </c>
      <c r="F76" s="5">
        <v>72</v>
      </c>
      <c r="G76" s="5" t="s">
        <v>111</v>
      </c>
      <c r="H76" s="16" t="s">
        <v>1263</v>
      </c>
      <c r="I76" s="5"/>
      <c r="J76" s="5"/>
      <c r="K76" s="5"/>
      <c r="L76" s="4">
        <f t="shared" si="2"/>
        <v>0</v>
      </c>
      <c r="M76" s="20">
        <v>0.05</v>
      </c>
      <c r="N76" s="31">
        <f t="shared" si="3"/>
        <v>0</v>
      </c>
    </row>
    <row r="77" spans="4:14">
      <c r="D77" s="26" t="s">
        <v>481</v>
      </c>
      <c r="E77" s="15" t="s">
        <v>223</v>
      </c>
      <c r="F77" s="5">
        <v>73</v>
      </c>
      <c r="G77" s="5" t="s">
        <v>112</v>
      </c>
      <c r="H77" s="16" t="s">
        <v>1263</v>
      </c>
      <c r="I77" s="5"/>
      <c r="J77" s="5"/>
      <c r="K77" s="5"/>
      <c r="L77" s="4">
        <f t="shared" si="2"/>
        <v>0</v>
      </c>
      <c r="M77" s="20">
        <v>0.05</v>
      </c>
      <c r="N77" s="31">
        <f t="shared" si="3"/>
        <v>0</v>
      </c>
    </row>
    <row r="78" spans="4:14">
      <c r="D78" s="26" t="s">
        <v>482</v>
      </c>
      <c r="E78" s="15" t="s">
        <v>224</v>
      </c>
      <c r="F78" s="5">
        <v>74</v>
      </c>
      <c r="G78" s="5" t="s">
        <v>113</v>
      </c>
      <c r="H78" s="16" t="s">
        <v>1263</v>
      </c>
      <c r="I78" s="5"/>
      <c r="J78" s="5"/>
      <c r="K78" s="5"/>
      <c r="L78" s="4">
        <f t="shared" si="2"/>
        <v>0</v>
      </c>
      <c r="M78" s="20">
        <v>0.05</v>
      </c>
      <c r="N78" s="31">
        <f t="shared" si="3"/>
        <v>0</v>
      </c>
    </row>
    <row r="79" spans="4:14">
      <c r="D79" s="26" t="s">
        <v>483</v>
      </c>
      <c r="E79" s="15" t="s">
        <v>225</v>
      </c>
      <c r="F79" s="5">
        <v>75</v>
      </c>
      <c r="G79" s="5" t="s">
        <v>114</v>
      </c>
      <c r="H79" s="16" t="s">
        <v>1263</v>
      </c>
      <c r="I79" s="5">
        <v>0</v>
      </c>
      <c r="J79" s="5">
        <v>1000</v>
      </c>
      <c r="K79" s="5">
        <v>1000</v>
      </c>
      <c r="L79" s="4">
        <f t="shared" si="2"/>
        <v>0</v>
      </c>
      <c r="M79" s="20">
        <v>0.05</v>
      </c>
      <c r="N79" s="31">
        <f t="shared" si="3"/>
        <v>0</v>
      </c>
    </row>
    <row r="80" spans="4:14">
      <c r="D80" s="26" t="s">
        <v>484</v>
      </c>
      <c r="E80" s="15" t="s">
        <v>226</v>
      </c>
      <c r="F80" s="5">
        <v>76</v>
      </c>
      <c r="G80" s="5" t="s">
        <v>8</v>
      </c>
      <c r="H80" s="16" t="s">
        <v>1263</v>
      </c>
      <c r="I80" s="5">
        <v>480</v>
      </c>
      <c r="J80" s="5"/>
      <c r="K80" s="5"/>
      <c r="L80" s="4">
        <f t="shared" si="2"/>
        <v>480</v>
      </c>
      <c r="M80" s="20">
        <v>0.05</v>
      </c>
      <c r="N80" s="31">
        <f t="shared" si="3"/>
        <v>24</v>
      </c>
    </row>
    <row r="81" spans="4:14">
      <c r="D81" s="26" t="s">
        <v>485</v>
      </c>
      <c r="E81" s="15" t="s">
        <v>227</v>
      </c>
      <c r="F81" s="5">
        <v>77</v>
      </c>
      <c r="G81" s="5" t="s">
        <v>115</v>
      </c>
      <c r="H81" s="16" t="s">
        <v>1263</v>
      </c>
      <c r="I81" s="5"/>
      <c r="J81" s="5"/>
      <c r="K81" s="5"/>
      <c r="L81" s="4">
        <f t="shared" si="2"/>
        <v>0</v>
      </c>
      <c r="M81" s="20">
        <v>0.05</v>
      </c>
      <c r="N81" s="31">
        <f t="shared" si="3"/>
        <v>0</v>
      </c>
    </row>
    <row r="82" spans="4:14">
      <c r="D82" s="26" t="s">
        <v>486</v>
      </c>
      <c r="E82" s="15" t="s">
        <v>228</v>
      </c>
      <c r="F82" s="5">
        <v>78</v>
      </c>
      <c r="G82" s="5" t="s">
        <v>116</v>
      </c>
      <c r="H82" s="16" t="s">
        <v>1263</v>
      </c>
      <c r="I82" s="5"/>
      <c r="J82" s="5"/>
      <c r="K82" s="5"/>
      <c r="L82" s="4">
        <f t="shared" si="2"/>
        <v>0</v>
      </c>
      <c r="M82" s="20">
        <v>0.06</v>
      </c>
      <c r="N82" s="31">
        <f t="shared" si="3"/>
        <v>0</v>
      </c>
    </row>
    <row r="83" spans="4:14">
      <c r="D83" s="26" t="s">
        <v>487</v>
      </c>
      <c r="E83" s="15" t="s">
        <v>229</v>
      </c>
      <c r="F83" s="5">
        <v>79</v>
      </c>
      <c r="G83" s="5" t="s">
        <v>117</v>
      </c>
      <c r="H83" s="16" t="s">
        <v>1263</v>
      </c>
      <c r="I83" s="5">
        <v>700</v>
      </c>
      <c r="J83" s="5"/>
      <c r="K83" s="5"/>
      <c r="L83" s="4">
        <f t="shared" si="2"/>
        <v>700</v>
      </c>
      <c r="M83" s="20">
        <v>0.05</v>
      </c>
      <c r="N83" s="31">
        <f t="shared" si="3"/>
        <v>35</v>
      </c>
    </row>
    <row r="84" spans="4:14">
      <c r="D84" s="26" t="s">
        <v>488</v>
      </c>
      <c r="E84" s="15" t="s">
        <v>230</v>
      </c>
      <c r="F84" s="5">
        <v>80</v>
      </c>
      <c r="G84" s="5" t="s">
        <v>94</v>
      </c>
      <c r="H84" s="16" t="s">
        <v>1263</v>
      </c>
      <c r="I84" s="5"/>
      <c r="J84" s="5"/>
      <c r="K84" s="5"/>
      <c r="L84" s="4">
        <f t="shared" si="2"/>
        <v>0</v>
      </c>
      <c r="M84" s="20">
        <v>0.39</v>
      </c>
      <c r="N84" s="31">
        <f t="shared" si="3"/>
        <v>0</v>
      </c>
    </row>
    <row r="85" spans="4:14">
      <c r="D85" s="26" t="s">
        <v>489</v>
      </c>
      <c r="E85" s="15" t="s">
        <v>231</v>
      </c>
      <c r="F85" s="5">
        <v>81</v>
      </c>
      <c r="G85" s="5" t="s">
        <v>118</v>
      </c>
      <c r="H85" s="16" t="s">
        <v>1263</v>
      </c>
      <c r="I85" s="5"/>
      <c r="J85" s="5"/>
      <c r="K85" s="5"/>
      <c r="L85" s="4">
        <f t="shared" si="2"/>
        <v>0</v>
      </c>
      <c r="M85" s="20">
        <v>0.05</v>
      </c>
      <c r="N85" s="31">
        <f t="shared" si="3"/>
        <v>0</v>
      </c>
    </row>
    <row r="86" spans="4:14">
      <c r="D86" s="26" t="s">
        <v>490</v>
      </c>
      <c r="E86" s="15" t="s">
        <v>232</v>
      </c>
      <c r="F86" s="5">
        <v>82</v>
      </c>
      <c r="G86" s="9" t="s">
        <v>113</v>
      </c>
      <c r="H86" s="16" t="s">
        <v>1263</v>
      </c>
      <c r="I86" s="5">
        <v>100</v>
      </c>
      <c r="J86" s="5"/>
      <c r="K86" s="5"/>
      <c r="L86" s="4">
        <f t="shared" si="2"/>
        <v>100</v>
      </c>
      <c r="M86" s="20">
        <v>0.05</v>
      </c>
      <c r="N86" s="31">
        <f t="shared" si="3"/>
        <v>5</v>
      </c>
    </row>
    <row r="87" spans="4:14">
      <c r="D87" s="26" t="s">
        <v>491</v>
      </c>
      <c r="E87" s="15" t="s">
        <v>233</v>
      </c>
      <c r="F87" s="5">
        <v>83</v>
      </c>
      <c r="G87" s="5" t="s">
        <v>119</v>
      </c>
      <c r="H87" s="16" t="s">
        <v>1263</v>
      </c>
      <c r="I87" s="5"/>
      <c r="J87" s="5"/>
      <c r="K87" s="5"/>
      <c r="L87" s="4">
        <f t="shared" si="2"/>
        <v>0</v>
      </c>
      <c r="M87" s="21">
        <v>1</v>
      </c>
      <c r="N87" s="31">
        <f t="shared" si="3"/>
        <v>0</v>
      </c>
    </row>
    <row r="88" spans="4:14">
      <c r="D88" s="26" t="s">
        <v>492</v>
      </c>
      <c r="E88" s="15" t="s">
        <v>234</v>
      </c>
      <c r="F88" s="5">
        <v>84</v>
      </c>
      <c r="G88" s="5" t="s">
        <v>120</v>
      </c>
      <c r="H88" s="16" t="s">
        <v>1263</v>
      </c>
      <c r="I88" s="5"/>
      <c r="J88" s="5"/>
      <c r="K88" s="5"/>
      <c r="L88" s="4">
        <f t="shared" si="2"/>
        <v>0</v>
      </c>
      <c r="M88" s="21">
        <v>0.85</v>
      </c>
      <c r="N88" s="31">
        <f t="shared" si="3"/>
        <v>0</v>
      </c>
    </row>
    <row r="89" spans="4:14">
      <c r="D89" s="26" t="s">
        <v>493</v>
      </c>
      <c r="E89" s="15" t="s">
        <v>235</v>
      </c>
      <c r="F89" s="5">
        <v>85</v>
      </c>
      <c r="G89" s="5" t="s">
        <v>121</v>
      </c>
      <c r="H89" s="16" t="s">
        <v>1263</v>
      </c>
      <c r="I89" s="5"/>
      <c r="J89" s="5"/>
      <c r="K89" s="5"/>
      <c r="L89" s="4">
        <f t="shared" si="2"/>
        <v>0</v>
      </c>
      <c r="M89" s="21">
        <v>0.18</v>
      </c>
      <c r="N89" s="31">
        <f t="shared" si="3"/>
        <v>0</v>
      </c>
    </row>
    <row r="90" spans="4:14">
      <c r="D90" s="26" t="s">
        <v>494</v>
      </c>
      <c r="E90" s="15" t="s">
        <v>236</v>
      </c>
      <c r="F90" s="5">
        <v>86</v>
      </c>
      <c r="G90" s="5" t="s">
        <v>122</v>
      </c>
      <c r="H90" s="16" t="s">
        <v>1263</v>
      </c>
      <c r="I90" s="5"/>
      <c r="J90" s="5"/>
      <c r="K90" s="5"/>
      <c r="L90" s="4">
        <f t="shared" si="2"/>
        <v>0</v>
      </c>
      <c r="M90" s="21">
        <v>0.09</v>
      </c>
      <c r="N90" s="31">
        <f t="shared" si="3"/>
        <v>0</v>
      </c>
    </row>
    <row r="91" spans="4:14">
      <c r="D91" s="26" t="s">
        <v>495</v>
      </c>
      <c r="E91" s="15" t="s">
        <v>237</v>
      </c>
      <c r="F91" s="5">
        <v>87</v>
      </c>
      <c r="G91" s="5" t="s">
        <v>123</v>
      </c>
      <c r="H91" s="16" t="s">
        <v>1263</v>
      </c>
      <c r="I91" s="5"/>
      <c r="J91" s="5"/>
      <c r="K91" s="5"/>
      <c r="L91" s="4">
        <f t="shared" si="2"/>
        <v>0</v>
      </c>
      <c r="M91" s="21">
        <v>0.06</v>
      </c>
      <c r="N91" s="31">
        <f t="shared" si="3"/>
        <v>0</v>
      </c>
    </row>
    <row r="92" spans="4:14">
      <c r="D92" s="26" t="s">
        <v>496</v>
      </c>
      <c r="E92" s="15" t="s">
        <v>238</v>
      </c>
      <c r="F92" s="5">
        <v>88</v>
      </c>
      <c r="G92" s="9" t="s">
        <v>953</v>
      </c>
      <c r="H92" s="16" t="s">
        <v>1263</v>
      </c>
      <c r="I92" s="5"/>
      <c r="J92" s="5"/>
      <c r="K92" s="5"/>
      <c r="L92" s="4">
        <f t="shared" si="2"/>
        <v>0</v>
      </c>
      <c r="M92" s="21">
        <v>0.06</v>
      </c>
      <c r="N92" s="31">
        <f t="shared" si="3"/>
        <v>0</v>
      </c>
    </row>
    <row r="93" spans="4:14">
      <c r="D93" s="26" t="s">
        <v>896</v>
      </c>
      <c r="E93" s="15" t="s">
        <v>239</v>
      </c>
      <c r="F93" s="5">
        <v>89</v>
      </c>
      <c r="G93" s="9" t="s">
        <v>898</v>
      </c>
      <c r="H93" s="16" t="s">
        <v>1263</v>
      </c>
      <c r="I93" s="5">
        <v>14000</v>
      </c>
      <c r="J93" s="5"/>
      <c r="K93" s="5"/>
      <c r="L93" s="4">
        <f t="shared" si="2"/>
        <v>14000</v>
      </c>
      <c r="M93" s="21">
        <v>0.28000000000000003</v>
      </c>
      <c r="N93" s="31">
        <f t="shared" si="3"/>
        <v>3920.0000000000005</v>
      </c>
    </row>
    <row r="94" spans="4:14">
      <c r="D94" s="26" t="s">
        <v>897</v>
      </c>
      <c r="E94" s="15" t="s">
        <v>240</v>
      </c>
      <c r="F94" s="5">
        <v>90</v>
      </c>
      <c r="G94" s="9" t="s">
        <v>899</v>
      </c>
      <c r="H94" s="16" t="s">
        <v>1263</v>
      </c>
      <c r="I94" s="5">
        <v>5000</v>
      </c>
      <c r="J94" s="5"/>
      <c r="K94" s="5"/>
      <c r="L94" s="4">
        <f t="shared" si="2"/>
        <v>5000</v>
      </c>
      <c r="M94" s="21">
        <v>0.08</v>
      </c>
      <c r="N94" s="31">
        <f t="shared" si="3"/>
        <v>400</v>
      </c>
    </row>
    <row r="95" spans="4:14">
      <c r="D95" s="26" t="s">
        <v>908</v>
      </c>
      <c r="E95" s="15" t="s">
        <v>241</v>
      </c>
      <c r="F95" s="5">
        <v>91</v>
      </c>
      <c r="G95" s="125" t="s">
        <v>1261</v>
      </c>
      <c r="H95" s="9" t="s">
        <v>1262</v>
      </c>
      <c r="I95" s="5">
        <v>11985</v>
      </c>
      <c r="J95" s="5"/>
      <c r="K95" s="5">
        <v>1000</v>
      </c>
      <c r="L95" s="4">
        <f t="shared" si="2"/>
        <v>10985</v>
      </c>
      <c r="M95" s="21">
        <v>0.28999999999999998</v>
      </c>
      <c r="N95" s="31">
        <f t="shared" si="3"/>
        <v>3185.6499999999996</v>
      </c>
    </row>
    <row r="96" spans="4:14">
      <c r="D96" s="26" t="s">
        <v>909</v>
      </c>
      <c r="E96" s="15" t="s">
        <v>242</v>
      </c>
      <c r="F96" s="5">
        <v>92</v>
      </c>
      <c r="G96" s="9" t="s">
        <v>1363</v>
      </c>
      <c r="H96" s="9" t="s">
        <v>1364</v>
      </c>
      <c r="I96" s="5">
        <v>0</v>
      </c>
      <c r="J96" s="5">
        <v>2000</v>
      </c>
      <c r="K96" s="5">
        <v>2000</v>
      </c>
      <c r="L96" s="4">
        <v>5000</v>
      </c>
      <c r="M96" s="21">
        <v>0.15</v>
      </c>
      <c r="N96" s="31">
        <f t="shared" si="3"/>
        <v>750</v>
      </c>
    </row>
    <row r="97" spans="4:14">
      <c r="D97" s="26" t="s">
        <v>917</v>
      </c>
      <c r="E97" s="15" t="s">
        <v>243</v>
      </c>
      <c r="F97" s="5">
        <v>93</v>
      </c>
      <c r="G97" s="125" t="s">
        <v>1374</v>
      </c>
      <c r="H97" s="5" t="s">
        <v>96</v>
      </c>
      <c r="I97" s="5">
        <v>0</v>
      </c>
      <c r="J97" s="5">
        <v>5000</v>
      </c>
      <c r="K97" s="5">
        <v>1000</v>
      </c>
      <c r="L97" s="4">
        <f t="shared" si="2"/>
        <v>4000</v>
      </c>
      <c r="M97" s="21">
        <v>0.05</v>
      </c>
      <c r="N97" s="31">
        <f t="shared" si="3"/>
        <v>200</v>
      </c>
    </row>
    <row r="98" spans="4:14">
      <c r="D98" s="26" t="s">
        <v>919</v>
      </c>
      <c r="E98" s="15" t="s">
        <v>244</v>
      </c>
      <c r="F98" s="5">
        <v>94</v>
      </c>
      <c r="G98" s="117" t="s">
        <v>1314</v>
      </c>
      <c r="H98" s="5" t="s">
        <v>96</v>
      </c>
      <c r="I98" s="5">
        <v>0</v>
      </c>
      <c r="J98" s="5">
        <f>700+5000+5000</f>
        <v>10700</v>
      </c>
      <c r="K98" s="5">
        <v>700</v>
      </c>
      <c r="L98" s="4">
        <f t="shared" si="2"/>
        <v>10000</v>
      </c>
      <c r="M98" s="21">
        <v>0.05</v>
      </c>
      <c r="N98" s="31">
        <f t="shared" si="3"/>
        <v>500</v>
      </c>
    </row>
    <row r="99" spans="4:14">
      <c r="D99" s="26" t="s">
        <v>918</v>
      </c>
      <c r="E99" s="15" t="s">
        <v>245</v>
      </c>
      <c r="F99" s="5">
        <v>95</v>
      </c>
      <c r="G99" s="125" t="s">
        <v>1253</v>
      </c>
      <c r="H99" s="5" t="s">
        <v>96</v>
      </c>
      <c r="I99" s="5">
        <v>500</v>
      </c>
      <c r="J99" s="5">
        <v>700</v>
      </c>
      <c r="K99" s="5">
        <v>700</v>
      </c>
      <c r="L99" s="4">
        <f t="shared" si="2"/>
        <v>500</v>
      </c>
      <c r="M99" s="21">
        <v>0.1</v>
      </c>
      <c r="N99" s="31">
        <f t="shared" si="3"/>
        <v>50</v>
      </c>
    </row>
    <row r="100" spans="4:14">
      <c r="D100" s="26" t="s">
        <v>923</v>
      </c>
      <c r="E100" s="15" t="s">
        <v>246</v>
      </c>
      <c r="F100" s="5">
        <v>96</v>
      </c>
      <c r="G100" s="123" t="s">
        <v>1232</v>
      </c>
      <c r="H100" s="5" t="s">
        <v>96</v>
      </c>
      <c r="I100" s="5">
        <v>15000</v>
      </c>
      <c r="J100" s="5">
        <v>10000</v>
      </c>
      <c r="K100" s="5">
        <f>20+1404+180+2+1000+10</f>
        <v>2616</v>
      </c>
      <c r="L100" s="4">
        <f t="shared" si="2"/>
        <v>22384</v>
      </c>
      <c r="M100" s="21">
        <v>1.8</v>
      </c>
      <c r="N100" s="31">
        <f t="shared" si="3"/>
        <v>40291.200000000004</v>
      </c>
    </row>
    <row r="101" spans="4:14">
      <c r="D101" s="26" t="s">
        <v>950</v>
      </c>
      <c r="E101" s="15" t="s">
        <v>945</v>
      </c>
      <c r="F101" s="5">
        <v>97</v>
      </c>
      <c r="G101" s="119" t="s">
        <v>1277</v>
      </c>
      <c r="H101" s="5" t="s">
        <v>96</v>
      </c>
      <c r="I101" s="5">
        <v>0</v>
      </c>
      <c r="J101" s="5">
        <f>800+4000</f>
        <v>4800</v>
      </c>
      <c r="K101" s="5">
        <f>800+4000</f>
        <v>4800</v>
      </c>
      <c r="L101" s="4">
        <f t="shared" si="2"/>
        <v>0</v>
      </c>
      <c r="M101" s="21">
        <v>0.12</v>
      </c>
      <c r="N101" s="31">
        <f t="shared" si="3"/>
        <v>0</v>
      </c>
    </row>
    <row r="102" spans="4:14">
      <c r="D102" s="26" t="s">
        <v>951</v>
      </c>
      <c r="E102" s="15" t="s">
        <v>946</v>
      </c>
      <c r="F102" s="5">
        <v>98</v>
      </c>
      <c r="G102" s="119" t="s">
        <v>1249</v>
      </c>
      <c r="H102" s="5" t="s">
        <v>96</v>
      </c>
      <c r="I102" s="5">
        <v>600</v>
      </c>
      <c r="J102" s="5">
        <v>400</v>
      </c>
      <c r="K102" s="5">
        <v>400</v>
      </c>
      <c r="L102" s="4">
        <f t="shared" si="2"/>
        <v>600</v>
      </c>
      <c r="M102" s="21">
        <v>0.12</v>
      </c>
      <c r="N102" s="31">
        <f t="shared" si="3"/>
        <v>72</v>
      </c>
    </row>
    <row r="103" spans="4:14">
      <c r="D103" s="26" t="s">
        <v>954</v>
      </c>
      <c r="E103" s="15" t="s">
        <v>947</v>
      </c>
      <c r="F103" s="5">
        <v>99</v>
      </c>
      <c r="G103" s="119" t="s">
        <v>1247</v>
      </c>
      <c r="H103" s="5" t="s">
        <v>96</v>
      </c>
      <c r="I103" s="5">
        <v>100</v>
      </c>
      <c r="J103" s="5">
        <f>400+2000+5000</f>
        <v>7400</v>
      </c>
      <c r="K103" s="5">
        <f>400+2000</f>
        <v>2400</v>
      </c>
      <c r="L103" s="4">
        <f t="shared" si="2"/>
        <v>5100</v>
      </c>
      <c r="M103" s="21">
        <v>0.1</v>
      </c>
      <c r="N103" s="31">
        <f t="shared" si="3"/>
        <v>510</v>
      </c>
    </row>
    <row r="104" spans="4:14">
      <c r="D104" s="26" t="s">
        <v>955</v>
      </c>
      <c r="E104" s="15" t="s">
        <v>948</v>
      </c>
      <c r="F104" s="5">
        <v>100</v>
      </c>
      <c r="G104" s="119" t="s">
        <v>1226</v>
      </c>
      <c r="H104" s="5" t="s">
        <v>96</v>
      </c>
      <c r="I104" s="5">
        <v>500</v>
      </c>
      <c r="J104" s="5"/>
      <c r="K104" s="5"/>
      <c r="L104" s="4">
        <f t="shared" si="2"/>
        <v>500</v>
      </c>
      <c r="M104" s="21">
        <v>0.1</v>
      </c>
      <c r="N104" s="31">
        <f t="shared" si="3"/>
        <v>50</v>
      </c>
    </row>
    <row r="105" spans="4:14">
      <c r="D105" s="26" t="s">
        <v>952</v>
      </c>
      <c r="E105" s="15" t="s">
        <v>949</v>
      </c>
      <c r="F105" s="5">
        <v>101</v>
      </c>
      <c r="G105" s="119" t="s">
        <v>1230</v>
      </c>
      <c r="H105" s="5" t="s">
        <v>96</v>
      </c>
      <c r="I105" s="5">
        <v>550</v>
      </c>
      <c r="J105" s="5"/>
      <c r="K105" s="5"/>
      <c r="L105" s="4">
        <f t="shared" si="2"/>
        <v>550</v>
      </c>
      <c r="M105" s="21">
        <v>0.1</v>
      </c>
      <c r="N105" s="31">
        <f t="shared" si="3"/>
        <v>55</v>
      </c>
    </row>
    <row r="106" spans="4:14">
      <c r="D106" s="26" t="s">
        <v>960</v>
      </c>
      <c r="E106" s="15" t="s">
        <v>956</v>
      </c>
      <c r="F106" s="5">
        <v>102</v>
      </c>
      <c r="G106" s="119" t="s">
        <v>1227</v>
      </c>
      <c r="H106" s="5" t="s">
        <v>96</v>
      </c>
      <c r="I106" s="5">
        <v>500</v>
      </c>
      <c r="J106" s="5"/>
      <c r="K106" s="5"/>
      <c r="L106" s="4">
        <f t="shared" si="2"/>
        <v>500</v>
      </c>
      <c r="M106" s="21">
        <v>0.1</v>
      </c>
      <c r="N106" s="31">
        <f t="shared" si="3"/>
        <v>50</v>
      </c>
    </row>
    <row r="107" spans="4:14">
      <c r="D107" s="26" t="s">
        <v>961</v>
      </c>
      <c r="E107" s="15" t="s">
        <v>957</v>
      </c>
      <c r="F107" s="5">
        <v>103</v>
      </c>
      <c r="G107" s="119" t="s">
        <v>1307</v>
      </c>
      <c r="H107" s="5" t="s">
        <v>96</v>
      </c>
      <c r="I107" s="5">
        <v>0</v>
      </c>
      <c r="J107" s="5">
        <f>400+2000+5000</f>
        <v>7400</v>
      </c>
      <c r="K107" s="5">
        <f>400+2000</f>
        <v>2400</v>
      </c>
      <c r="L107" s="4">
        <f t="shared" si="2"/>
        <v>5000</v>
      </c>
      <c r="M107" s="21">
        <v>0.1</v>
      </c>
      <c r="N107" s="31">
        <f t="shared" si="3"/>
        <v>500</v>
      </c>
    </row>
    <row r="108" spans="4:14">
      <c r="D108" s="26" t="s">
        <v>962</v>
      </c>
      <c r="E108" s="15" t="s">
        <v>958</v>
      </c>
      <c r="F108" s="5">
        <v>104</v>
      </c>
      <c r="G108" s="119" t="s">
        <v>1365</v>
      </c>
      <c r="H108" s="9" t="s">
        <v>1364</v>
      </c>
      <c r="I108" s="5"/>
      <c r="J108" s="5">
        <f>2000+10000</f>
        <v>12000</v>
      </c>
      <c r="K108" s="5">
        <v>2000</v>
      </c>
      <c r="L108" s="4">
        <f t="shared" si="2"/>
        <v>10000</v>
      </c>
      <c r="M108" s="21">
        <v>0.13</v>
      </c>
      <c r="N108" s="31">
        <f t="shared" si="3"/>
        <v>1300</v>
      </c>
    </row>
    <row r="109" spans="4:14">
      <c r="D109" s="26" t="s">
        <v>963</v>
      </c>
      <c r="E109" s="15" t="s">
        <v>959</v>
      </c>
      <c r="F109" s="5">
        <v>105</v>
      </c>
      <c r="G109" s="119" t="s">
        <v>1252</v>
      </c>
      <c r="H109" s="5" t="s">
        <v>96</v>
      </c>
      <c r="I109" s="5">
        <v>100</v>
      </c>
      <c r="J109" s="5">
        <f>400+2000</f>
        <v>2400</v>
      </c>
      <c r="K109" s="5">
        <f>400+2000</f>
        <v>2400</v>
      </c>
      <c r="L109" s="4">
        <f t="shared" si="2"/>
        <v>100</v>
      </c>
      <c r="M109" s="21">
        <v>0.1</v>
      </c>
      <c r="N109" s="31">
        <f t="shared" si="3"/>
        <v>10</v>
      </c>
    </row>
    <row r="110" spans="4:14">
      <c r="D110" s="26" t="s">
        <v>999</v>
      </c>
      <c r="E110" s="15" t="s">
        <v>1001</v>
      </c>
      <c r="F110" s="5">
        <v>106</v>
      </c>
      <c r="G110" s="119" t="s">
        <v>1237</v>
      </c>
      <c r="H110" s="5" t="s">
        <v>96</v>
      </c>
      <c r="I110" s="5">
        <v>4884</v>
      </c>
      <c r="J110" s="5"/>
      <c r="K110" s="5">
        <f>5+54</f>
        <v>59</v>
      </c>
      <c r="L110" s="4">
        <f t="shared" si="2"/>
        <v>4825</v>
      </c>
      <c r="M110" s="21">
        <v>0.2</v>
      </c>
      <c r="N110" s="31">
        <f t="shared" si="3"/>
        <v>965</v>
      </c>
    </row>
    <row r="111" spans="4:14">
      <c r="D111" s="26" t="s">
        <v>1000</v>
      </c>
      <c r="E111" s="15" t="s">
        <v>1002</v>
      </c>
      <c r="F111" s="5">
        <v>107</v>
      </c>
      <c r="G111" s="119" t="s">
        <v>1003</v>
      </c>
      <c r="H111" s="9" t="s">
        <v>1004</v>
      </c>
      <c r="I111" s="5"/>
      <c r="J111" s="5"/>
      <c r="K111" s="5"/>
      <c r="L111" s="4">
        <f t="shared" si="2"/>
        <v>0</v>
      </c>
      <c r="M111" s="21">
        <v>0.25</v>
      </c>
      <c r="N111" s="31">
        <f t="shared" si="3"/>
        <v>0</v>
      </c>
    </row>
    <row r="112" spans="4:14">
      <c r="D112" s="26" t="s">
        <v>1091</v>
      </c>
      <c r="E112" s="15" t="s">
        <v>1037</v>
      </c>
      <c r="F112" s="5">
        <v>108</v>
      </c>
      <c r="G112" s="120" t="s">
        <v>1036</v>
      </c>
      <c r="H112" s="9" t="s">
        <v>1004</v>
      </c>
      <c r="I112" s="5"/>
      <c r="J112" s="5"/>
      <c r="K112" s="5"/>
      <c r="L112" s="4">
        <f t="shared" si="2"/>
        <v>0</v>
      </c>
      <c r="M112" s="21"/>
      <c r="N112" s="31">
        <f t="shared" si="3"/>
        <v>0</v>
      </c>
    </row>
    <row r="113" spans="4:14">
      <c r="D113" s="26" t="s">
        <v>1092</v>
      </c>
      <c r="E113" s="15" t="s">
        <v>1038</v>
      </c>
      <c r="F113" s="5">
        <v>109</v>
      </c>
      <c r="G113" s="120" t="s">
        <v>1041</v>
      </c>
      <c r="H113" s="9" t="s">
        <v>1004</v>
      </c>
      <c r="I113" s="5"/>
      <c r="J113" s="5"/>
      <c r="K113" s="5"/>
      <c r="L113" s="4">
        <f t="shared" si="2"/>
        <v>0</v>
      </c>
      <c r="M113" s="21"/>
      <c r="N113" s="31">
        <f t="shared" si="3"/>
        <v>0</v>
      </c>
    </row>
    <row r="114" spans="4:14">
      <c r="D114" s="26" t="s">
        <v>1093</v>
      </c>
      <c r="E114" s="15" t="s">
        <v>1039</v>
      </c>
      <c r="F114" s="5">
        <v>110</v>
      </c>
      <c r="G114" s="120" t="s">
        <v>1040</v>
      </c>
      <c r="H114" s="9" t="s">
        <v>1004</v>
      </c>
      <c r="I114" s="5"/>
      <c r="J114" s="5"/>
      <c r="K114" s="5"/>
      <c r="L114" s="4">
        <f t="shared" si="2"/>
        <v>0</v>
      </c>
      <c r="M114" s="21"/>
      <c r="N114" s="31">
        <f t="shared" si="3"/>
        <v>0</v>
      </c>
    </row>
    <row r="115" spans="4:14">
      <c r="D115" s="26" t="s">
        <v>1094</v>
      </c>
      <c r="E115" s="15" t="s">
        <v>1044</v>
      </c>
      <c r="F115" s="5">
        <v>111</v>
      </c>
      <c r="G115" s="120" t="s">
        <v>1042</v>
      </c>
      <c r="H115" s="9" t="s">
        <v>1004</v>
      </c>
      <c r="I115" s="5"/>
      <c r="J115" s="5"/>
      <c r="K115" s="5"/>
      <c r="L115" s="4">
        <f t="shared" si="2"/>
        <v>0</v>
      </c>
      <c r="M115" s="21"/>
      <c r="N115" s="31">
        <f t="shared" si="3"/>
        <v>0</v>
      </c>
    </row>
    <row r="116" spans="4:14">
      <c r="D116" s="26" t="s">
        <v>1095</v>
      </c>
      <c r="E116" s="15" t="s">
        <v>1045</v>
      </c>
      <c r="F116" s="5">
        <v>112</v>
      </c>
      <c r="G116" s="119" t="s">
        <v>1043</v>
      </c>
      <c r="H116" s="9" t="s">
        <v>1004</v>
      </c>
      <c r="I116" s="5"/>
      <c r="J116" s="5"/>
      <c r="K116" s="5"/>
      <c r="L116" s="4">
        <f t="shared" si="2"/>
        <v>0</v>
      </c>
      <c r="M116" s="21"/>
      <c r="N116" s="31">
        <f t="shared" si="3"/>
        <v>0</v>
      </c>
    </row>
    <row r="117" spans="4:14">
      <c r="D117" s="26" t="s">
        <v>1096</v>
      </c>
      <c r="E117" s="15" t="s">
        <v>1078</v>
      </c>
      <c r="F117" s="5">
        <v>113</v>
      </c>
      <c r="G117" s="119" t="s">
        <v>1278</v>
      </c>
      <c r="H117" s="9" t="s">
        <v>1004</v>
      </c>
      <c r="I117" s="5">
        <v>0</v>
      </c>
      <c r="J117" s="5">
        <f>400+2000</f>
        <v>2400</v>
      </c>
      <c r="K117" s="5">
        <f>400+2000</f>
        <v>2400</v>
      </c>
      <c r="L117" s="4">
        <f t="shared" si="2"/>
        <v>0</v>
      </c>
      <c r="M117" s="21">
        <v>0.1</v>
      </c>
      <c r="N117" s="31">
        <f t="shared" si="3"/>
        <v>0</v>
      </c>
    </row>
    <row r="118" spans="4:14">
      <c r="D118" s="26" t="s">
        <v>1097</v>
      </c>
      <c r="E118" s="15" t="s">
        <v>1079</v>
      </c>
      <c r="F118" s="5">
        <v>114</v>
      </c>
      <c r="G118" s="123" t="s">
        <v>1279</v>
      </c>
      <c r="H118" s="9" t="s">
        <v>1004</v>
      </c>
      <c r="I118" s="5">
        <v>0</v>
      </c>
      <c r="J118" s="5">
        <f>400+700</f>
        <v>1100</v>
      </c>
      <c r="K118" s="5">
        <f>400+700</f>
        <v>1100</v>
      </c>
      <c r="L118" s="4">
        <f t="shared" si="2"/>
        <v>0</v>
      </c>
      <c r="M118" s="21">
        <v>0.1</v>
      </c>
      <c r="N118" s="31">
        <f t="shared" si="3"/>
        <v>0</v>
      </c>
    </row>
    <row r="119" spans="4:14">
      <c r="D119" s="26" t="s">
        <v>1098</v>
      </c>
      <c r="E119" s="15" t="s">
        <v>1080</v>
      </c>
      <c r="F119" s="5">
        <v>115</v>
      </c>
      <c r="G119" s="119" t="s">
        <v>1280</v>
      </c>
      <c r="H119" s="9" t="s">
        <v>1004</v>
      </c>
      <c r="I119" s="5">
        <v>0</v>
      </c>
      <c r="J119" s="5">
        <f>400+2000+5000</f>
        <v>7400</v>
      </c>
      <c r="K119" s="5">
        <f>400+2000</f>
        <v>2400</v>
      </c>
      <c r="L119" s="4">
        <f t="shared" si="2"/>
        <v>5000</v>
      </c>
      <c r="M119" s="21">
        <v>0.1</v>
      </c>
      <c r="N119" s="31">
        <f t="shared" si="3"/>
        <v>500</v>
      </c>
    </row>
    <row r="120" spans="4:14">
      <c r="D120" s="26" t="s">
        <v>1099</v>
      </c>
      <c r="E120" s="15" t="s">
        <v>1081</v>
      </c>
      <c r="F120" s="5">
        <v>116</v>
      </c>
      <c r="G120" s="119" t="s">
        <v>1281</v>
      </c>
      <c r="H120" s="9" t="s">
        <v>1004</v>
      </c>
      <c r="I120" s="5">
        <v>0</v>
      </c>
      <c r="J120" s="5">
        <f>400+2000+5000</f>
        <v>7400</v>
      </c>
      <c r="K120" s="5">
        <f>400+2000</f>
        <v>2400</v>
      </c>
      <c r="L120" s="4">
        <f t="shared" si="2"/>
        <v>5000</v>
      </c>
      <c r="M120" s="21">
        <v>0.06</v>
      </c>
      <c r="N120" s="31">
        <f t="shared" si="3"/>
        <v>300</v>
      </c>
    </row>
    <row r="121" spans="4:14">
      <c r="D121" s="26" t="s">
        <v>1100</v>
      </c>
      <c r="E121" s="15" t="s">
        <v>1083</v>
      </c>
      <c r="F121" s="5">
        <v>117</v>
      </c>
      <c r="G121" s="119" t="s">
        <v>1082</v>
      </c>
      <c r="H121" s="9" t="s">
        <v>1004</v>
      </c>
      <c r="I121" s="5"/>
      <c r="J121" s="5"/>
      <c r="K121" s="5"/>
      <c r="L121" s="4">
        <f t="shared" si="2"/>
        <v>0</v>
      </c>
      <c r="M121" s="21"/>
      <c r="N121" s="31">
        <f t="shared" si="3"/>
        <v>0</v>
      </c>
    </row>
    <row r="122" spans="4:14">
      <c r="D122" s="26" t="s">
        <v>1101</v>
      </c>
      <c r="E122" s="15" t="s">
        <v>1085</v>
      </c>
      <c r="F122" s="5">
        <v>118</v>
      </c>
      <c r="G122" s="119" t="s">
        <v>1084</v>
      </c>
      <c r="H122" s="9" t="s">
        <v>1004</v>
      </c>
      <c r="I122" s="5"/>
      <c r="J122" s="5"/>
      <c r="K122" s="5"/>
      <c r="L122" s="4">
        <f t="shared" si="2"/>
        <v>0</v>
      </c>
      <c r="M122" s="21"/>
      <c r="N122" s="31">
        <f t="shared" si="3"/>
        <v>0</v>
      </c>
    </row>
    <row r="123" spans="4:14">
      <c r="D123" s="26" t="s">
        <v>1102</v>
      </c>
      <c r="E123" s="15" t="s">
        <v>1087</v>
      </c>
      <c r="F123" s="5">
        <v>119</v>
      </c>
      <c r="G123" s="119" t="s">
        <v>1086</v>
      </c>
      <c r="H123" s="9" t="s">
        <v>1004</v>
      </c>
      <c r="I123" s="5"/>
      <c r="J123" s="5"/>
      <c r="K123" s="5"/>
      <c r="L123" s="4">
        <f t="shared" si="2"/>
        <v>0</v>
      </c>
      <c r="M123" s="21"/>
      <c r="N123" s="31">
        <f t="shared" si="3"/>
        <v>0</v>
      </c>
    </row>
    <row r="124" spans="4:14">
      <c r="D124" s="26" t="s">
        <v>1103</v>
      </c>
      <c r="E124" s="15" t="s">
        <v>1088</v>
      </c>
      <c r="F124" s="5">
        <v>120</v>
      </c>
      <c r="G124" s="119" t="s">
        <v>1282</v>
      </c>
      <c r="H124" s="9" t="s">
        <v>1004</v>
      </c>
      <c r="I124" s="5">
        <v>0</v>
      </c>
      <c r="J124" s="5">
        <v>400</v>
      </c>
      <c r="K124" s="5">
        <v>400</v>
      </c>
      <c r="L124" s="4">
        <f t="shared" si="2"/>
        <v>0</v>
      </c>
      <c r="M124" s="21">
        <v>0.1</v>
      </c>
      <c r="N124" s="31">
        <f t="shared" si="3"/>
        <v>0</v>
      </c>
    </row>
    <row r="125" spans="4:14">
      <c r="D125" s="26" t="s">
        <v>1104</v>
      </c>
      <c r="E125" s="15" t="s">
        <v>1090</v>
      </c>
      <c r="F125" s="5">
        <v>121</v>
      </c>
      <c r="G125" s="119" t="s">
        <v>1089</v>
      </c>
      <c r="H125" s="9" t="s">
        <v>1004</v>
      </c>
      <c r="I125" s="5"/>
      <c r="J125" s="5"/>
      <c r="K125" s="5"/>
      <c r="L125" s="4">
        <f t="shared" si="2"/>
        <v>0</v>
      </c>
      <c r="M125" s="21"/>
      <c r="N125" s="31">
        <f t="shared" si="3"/>
        <v>0</v>
      </c>
    </row>
    <row r="126" spans="4:14">
      <c r="D126" s="26" t="s">
        <v>1105</v>
      </c>
      <c r="E126" s="15" t="s">
        <v>1108</v>
      </c>
      <c r="F126" s="5">
        <v>122</v>
      </c>
      <c r="G126" s="119" t="s">
        <v>1379</v>
      </c>
      <c r="H126" s="9" t="s">
        <v>1004</v>
      </c>
      <c r="I126" s="5">
        <v>0</v>
      </c>
      <c r="J126" s="5">
        <v>5000</v>
      </c>
      <c r="K126" s="5"/>
      <c r="L126" s="4">
        <f t="shared" si="2"/>
        <v>5000</v>
      </c>
      <c r="M126" s="21">
        <v>0.12</v>
      </c>
      <c r="N126" s="31">
        <f t="shared" si="3"/>
        <v>600</v>
      </c>
    </row>
    <row r="127" spans="4:14">
      <c r="D127" s="26" t="s">
        <v>1106</v>
      </c>
      <c r="E127" s="15" t="s">
        <v>1109</v>
      </c>
      <c r="F127" s="5">
        <v>123</v>
      </c>
      <c r="G127" s="119" t="s">
        <v>1388</v>
      </c>
      <c r="H127" s="9" t="s">
        <v>1004</v>
      </c>
      <c r="I127" s="5">
        <v>0</v>
      </c>
      <c r="J127" s="5">
        <v>8600</v>
      </c>
      <c r="K127" s="5"/>
      <c r="L127" s="4">
        <f t="shared" si="2"/>
        <v>8600</v>
      </c>
      <c r="M127" s="21">
        <v>0.2</v>
      </c>
      <c r="N127" s="31">
        <f t="shared" si="3"/>
        <v>1720</v>
      </c>
    </row>
    <row r="128" spans="4:14">
      <c r="D128" s="26" t="s">
        <v>1107</v>
      </c>
      <c r="E128" s="15" t="s">
        <v>1110</v>
      </c>
      <c r="F128" s="5">
        <v>124</v>
      </c>
      <c r="G128" s="119" t="s">
        <v>1383</v>
      </c>
      <c r="H128" s="9" t="s">
        <v>1004</v>
      </c>
      <c r="I128" s="5">
        <v>0</v>
      </c>
      <c r="J128" s="5">
        <v>5000</v>
      </c>
      <c r="K128" s="5"/>
      <c r="L128" s="4">
        <f t="shared" si="2"/>
        <v>5000</v>
      </c>
      <c r="M128" s="21">
        <v>0.06</v>
      </c>
      <c r="N128" s="31">
        <f t="shared" si="3"/>
        <v>300</v>
      </c>
    </row>
    <row r="129" spans="4:14">
      <c r="D129" s="26" t="s">
        <v>1111</v>
      </c>
      <c r="E129" s="15" t="s">
        <v>1115</v>
      </c>
      <c r="F129" s="5">
        <v>125</v>
      </c>
      <c r="G129" s="119" t="s">
        <v>1384</v>
      </c>
      <c r="H129" s="9" t="s">
        <v>1004</v>
      </c>
      <c r="I129" s="5">
        <v>0</v>
      </c>
      <c r="J129" s="5">
        <v>5000</v>
      </c>
      <c r="K129" s="5"/>
      <c r="L129" s="4">
        <f t="shared" si="2"/>
        <v>5000</v>
      </c>
      <c r="M129" s="21">
        <v>0.06</v>
      </c>
      <c r="N129" s="31">
        <f t="shared" si="3"/>
        <v>300</v>
      </c>
    </row>
    <row r="130" spans="4:14">
      <c r="D130" s="26" t="s">
        <v>1112</v>
      </c>
      <c r="E130" s="15" t="s">
        <v>1116</v>
      </c>
      <c r="F130" s="5">
        <v>126</v>
      </c>
      <c r="G130" s="119" t="s">
        <v>1382</v>
      </c>
      <c r="H130" s="9" t="s">
        <v>1004</v>
      </c>
      <c r="I130" s="5">
        <v>0</v>
      </c>
      <c r="J130" s="5">
        <v>5000</v>
      </c>
      <c r="K130" s="5"/>
      <c r="L130" s="4">
        <f t="shared" si="2"/>
        <v>5000</v>
      </c>
      <c r="M130" s="21">
        <v>0.06</v>
      </c>
      <c r="N130" s="31">
        <f t="shared" si="3"/>
        <v>300</v>
      </c>
    </row>
    <row r="131" spans="4:14">
      <c r="D131" s="26" t="s">
        <v>1113</v>
      </c>
      <c r="E131" s="15" t="s">
        <v>1117</v>
      </c>
      <c r="F131" s="5">
        <v>127</v>
      </c>
      <c r="G131" s="119" t="s">
        <v>1361</v>
      </c>
      <c r="H131" s="9" t="s">
        <v>1362</v>
      </c>
      <c r="I131" s="5">
        <v>0</v>
      </c>
      <c r="J131" s="5">
        <v>2000</v>
      </c>
      <c r="K131" s="5">
        <v>2000</v>
      </c>
      <c r="L131" s="4">
        <f t="shared" si="2"/>
        <v>0</v>
      </c>
      <c r="M131" s="21">
        <v>0.1</v>
      </c>
      <c r="N131" s="31">
        <f t="shared" si="3"/>
        <v>0</v>
      </c>
    </row>
    <row r="132" spans="4:14">
      <c r="D132" s="26" t="s">
        <v>1114</v>
      </c>
      <c r="E132" s="15" t="s">
        <v>1118</v>
      </c>
      <c r="F132" s="5">
        <v>128</v>
      </c>
      <c r="G132" s="119" t="s">
        <v>1375</v>
      </c>
      <c r="H132" s="9" t="s">
        <v>1004</v>
      </c>
      <c r="I132" s="5">
        <v>0</v>
      </c>
      <c r="J132" s="5">
        <v>1000</v>
      </c>
      <c r="K132" s="5">
        <v>1000</v>
      </c>
      <c r="L132" s="4">
        <f t="shared" si="2"/>
        <v>0</v>
      </c>
      <c r="M132" s="21">
        <v>0.1</v>
      </c>
      <c r="N132" s="31">
        <f t="shared" si="3"/>
        <v>0</v>
      </c>
    </row>
    <row r="133" spans="4:14">
      <c r="D133" s="26"/>
      <c r="E133" s="15" t="s">
        <v>1153</v>
      </c>
      <c r="F133" s="5">
        <v>129</v>
      </c>
      <c r="G133" s="119" t="s">
        <v>1154</v>
      </c>
      <c r="H133" s="9" t="s">
        <v>1004</v>
      </c>
      <c r="I133" s="5"/>
      <c r="J133" s="5"/>
      <c r="K133" s="5"/>
      <c r="L133" s="4">
        <f t="shared" si="2"/>
        <v>0</v>
      </c>
      <c r="M133" s="21">
        <v>0.1</v>
      </c>
      <c r="N133" s="31">
        <f t="shared" si="3"/>
        <v>0</v>
      </c>
    </row>
    <row r="134" spans="4:14">
      <c r="D134" s="26"/>
      <c r="E134" s="15" t="s">
        <v>1886</v>
      </c>
      <c r="F134" s="5">
        <v>130</v>
      </c>
      <c r="G134" s="119" t="s">
        <v>1920</v>
      </c>
      <c r="H134" s="9" t="s">
        <v>1004</v>
      </c>
      <c r="I134" s="5"/>
      <c r="J134" s="5"/>
      <c r="K134" s="5"/>
      <c r="L134" s="4">
        <v>0</v>
      </c>
      <c r="M134" s="21">
        <v>0.1</v>
      </c>
      <c r="N134" s="31">
        <f t="shared" si="3"/>
        <v>0</v>
      </c>
    </row>
    <row r="135" spans="4:14">
      <c r="D135" s="26"/>
      <c r="E135" s="81" t="s">
        <v>1887</v>
      </c>
      <c r="F135" s="5">
        <v>131</v>
      </c>
      <c r="G135" s="119" t="s">
        <v>1921</v>
      </c>
      <c r="H135" s="9" t="s">
        <v>1004</v>
      </c>
      <c r="I135" s="5"/>
      <c r="J135" s="5"/>
      <c r="K135" s="5"/>
      <c r="L135" s="4">
        <v>0</v>
      </c>
      <c r="M135" s="21">
        <v>0.1</v>
      </c>
      <c r="N135" s="31">
        <f t="shared" ref="N135:N136" si="4">L135*M135</f>
        <v>0</v>
      </c>
    </row>
    <row r="136" spans="4:14">
      <c r="D136" s="26"/>
      <c r="E136" s="15" t="s">
        <v>1888</v>
      </c>
      <c r="F136" s="5">
        <v>132</v>
      </c>
      <c r="G136" s="183" t="s">
        <v>1922</v>
      </c>
      <c r="H136" s="9" t="s">
        <v>1004</v>
      </c>
      <c r="I136" s="5"/>
      <c r="J136" s="5"/>
      <c r="K136" s="5"/>
      <c r="L136" s="4">
        <v>0</v>
      </c>
      <c r="M136" s="21">
        <v>0.1</v>
      </c>
      <c r="N136" s="31">
        <f t="shared" si="4"/>
        <v>0</v>
      </c>
    </row>
    <row r="137" spans="4:14">
      <c r="D137" s="26"/>
      <c r="E137" s="15" t="s">
        <v>1886</v>
      </c>
      <c r="F137" s="5">
        <v>133</v>
      </c>
      <c r="G137" s="180" t="s">
        <v>1223</v>
      </c>
      <c r="H137" s="9" t="s">
        <v>1224</v>
      </c>
      <c r="I137" s="5">
        <v>15000</v>
      </c>
      <c r="J137" s="5"/>
      <c r="K137" s="5"/>
      <c r="L137" s="4">
        <f t="shared" ref="L137:L162" si="5">I137+J137-K137</f>
        <v>15000</v>
      </c>
      <c r="M137" s="21">
        <v>0.05</v>
      </c>
      <c r="N137" s="31">
        <f t="shared" ref="N137:N170" si="6">L137*M137</f>
        <v>750</v>
      </c>
    </row>
    <row r="138" spans="4:14">
      <c r="D138" s="26"/>
      <c r="E138" s="15" t="s">
        <v>1887</v>
      </c>
      <c r="F138" s="5">
        <v>134</v>
      </c>
      <c r="G138" s="181" t="s">
        <v>1228</v>
      </c>
      <c r="H138" s="9" t="s">
        <v>1258</v>
      </c>
      <c r="I138" s="5">
        <v>7000</v>
      </c>
      <c r="J138" s="5"/>
      <c r="K138" s="5">
        <f>10+702+5</f>
        <v>717</v>
      </c>
      <c r="L138" s="4">
        <f t="shared" si="5"/>
        <v>6283</v>
      </c>
      <c r="M138" s="112">
        <v>0.09</v>
      </c>
      <c r="N138" s="31">
        <f t="shared" si="6"/>
        <v>565.47</v>
      </c>
    </row>
    <row r="139" spans="4:14">
      <c r="D139" s="26"/>
      <c r="E139" s="15" t="s">
        <v>1888</v>
      </c>
      <c r="F139" s="5">
        <v>135</v>
      </c>
      <c r="G139" s="181" t="s">
        <v>1229</v>
      </c>
      <c r="H139" s="9" t="s">
        <v>1258</v>
      </c>
      <c r="I139" s="5">
        <v>6898</v>
      </c>
      <c r="J139" s="5"/>
      <c r="K139" s="9">
        <v>5</v>
      </c>
      <c r="L139" s="4">
        <f t="shared" si="5"/>
        <v>6893</v>
      </c>
      <c r="M139" s="21">
        <v>0.09</v>
      </c>
      <c r="N139" s="31">
        <f t="shared" si="6"/>
        <v>620.37</v>
      </c>
    </row>
    <row r="140" spans="4:14">
      <c r="D140" s="26"/>
      <c r="E140" s="15" t="s">
        <v>1889</v>
      </c>
      <c r="F140" s="5">
        <v>136</v>
      </c>
      <c r="G140" s="181" t="s">
        <v>1231</v>
      </c>
      <c r="H140" s="9" t="s">
        <v>1258</v>
      </c>
      <c r="I140" s="5">
        <v>7500</v>
      </c>
      <c r="J140" s="5"/>
      <c r="K140" s="5">
        <v>10</v>
      </c>
      <c r="L140" s="4">
        <f t="shared" si="5"/>
        <v>7490</v>
      </c>
      <c r="M140" s="21">
        <v>0.09</v>
      </c>
      <c r="N140" s="31">
        <f t="shared" si="6"/>
        <v>674.1</v>
      </c>
    </row>
    <row r="141" spans="4:14">
      <c r="D141" s="26"/>
      <c r="E141" s="15" t="s">
        <v>1890</v>
      </c>
      <c r="F141" s="5">
        <v>137</v>
      </c>
      <c r="G141" s="123" t="s">
        <v>1233</v>
      </c>
      <c r="H141" s="9" t="s">
        <v>1258</v>
      </c>
      <c r="I141" s="5">
        <v>15000</v>
      </c>
      <c r="J141" s="5"/>
      <c r="K141" s="5">
        <v>1000</v>
      </c>
      <c r="L141" s="4">
        <f t="shared" si="5"/>
        <v>14000</v>
      </c>
      <c r="M141" s="21">
        <v>0.05</v>
      </c>
      <c r="N141" s="31">
        <f t="shared" si="6"/>
        <v>700</v>
      </c>
    </row>
    <row r="142" spans="4:14">
      <c r="D142" s="26"/>
      <c r="E142" s="15" t="s">
        <v>1891</v>
      </c>
      <c r="F142" s="5">
        <v>138</v>
      </c>
      <c r="G142" s="123" t="s">
        <v>1234</v>
      </c>
      <c r="H142" s="9" t="s">
        <v>1258</v>
      </c>
      <c r="I142" s="5">
        <v>1050</v>
      </c>
      <c r="J142" s="5"/>
      <c r="K142" s="5">
        <v>1</v>
      </c>
      <c r="L142" s="4">
        <f t="shared" si="5"/>
        <v>1049</v>
      </c>
      <c r="M142" s="21">
        <v>0.1</v>
      </c>
      <c r="N142" s="31">
        <f t="shared" si="6"/>
        <v>104.9</v>
      </c>
    </row>
    <row r="143" spans="4:14">
      <c r="D143" s="26"/>
      <c r="E143" s="15" t="s">
        <v>1892</v>
      </c>
      <c r="F143" s="5">
        <v>139</v>
      </c>
      <c r="G143" s="123" t="s">
        <v>1235</v>
      </c>
      <c r="H143" s="9" t="s">
        <v>1258</v>
      </c>
      <c r="I143" s="5">
        <v>15000</v>
      </c>
      <c r="J143" s="5"/>
      <c r="K143" s="5"/>
      <c r="L143" s="4">
        <f t="shared" si="5"/>
        <v>15000</v>
      </c>
      <c r="M143" s="21">
        <v>0.09</v>
      </c>
      <c r="N143" s="31">
        <f t="shared" si="6"/>
        <v>1350</v>
      </c>
    </row>
    <row r="144" spans="4:14">
      <c r="D144" s="26"/>
      <c r="E144" s="15" t="s">
        <v>1893</v>
      </c>
      <c r="F144" s="5">
        <v>140</v>
      </c>
      <c r="G144" s="123" t="s">
        <v>1236</v>
      </c>
      <c r="H144" s="9" t="s">
        <v>1258</v>
      </c>
      <c r="I144" s="5">
        <v>5000</v>
      </c>
      <c r="J144" s="5"/>
      <c r="K144" s="5"/>
      <c r="L144" s="4">
        <f t="shared" si="5"/>
        <v>5000</v>
      </c>
      <c r="M144" s="21">
        <v>0.08</v>
      </c>
      <c r="N144" s="31">
        <f t="shared" si="6"/>
        <v>400</v>
      </c>
    </row>
    <row r="145" spans="4:14">
      <c r="D145" s="26"/>
      <c r="E145" s="15" t="s">
        <v>1894</v>
      </c>
      <c r="F145" s="5">
        <v>141</v>
      </c>
      <c r="G145" s="123" t="s">
        <v>1238</v>
      </c>
      <c r="H145" s="9" t="s">
        <v>1258</v>
      </c>
      <c r="I145" s="5">
        <v>5000</v>
      </c>
      <c r="J145" s="5">
        <v>5000</v>
      </c>
      <c r="K145" s="5">
        <f>200+5+3</f>
        <v>208</v>
      </c>
      <c r="L145" s="4">
        <f t="shared" si="5"/>
        <v>9792</v>
      </c>
      <c r="M145" s="21">
        <v>0.1</v>
      </c>
      <c r="N145" s="31">
        <f t="shared" si="6"/>
        <v>979.2</v>
      </c>
    </row>
    <row r="146" spans="4:14">
      <c r="D146" s="26"/>
      <c r="E146" s="15" t="s">
        <v>1895</v>
      </c>
      <c r="F146" s="5">
        <v>142</v>
      </c>
      <c r="G146" s="123" t="s">
        <v>1239</v>
      </c>
      <c r="H146" s="9" t="s">
        <v>1258</v>
      </c>
      <c r="I146" s="5">
        <v>50</v>
      </c>
      <c r="J146" s="5"/>
      <c r="K146" s="5"/>
      <c r="L146" s="4">
        <f t="shared" si="5"/>
        <v>50</v>
      </c>
      <c r="M146" s="21">
        <v>0.08</v>
      </c>
      <c r="N146" s="31">
        <f t="shared" si="6"/>
        <v>4</v>
      </c>
    </row>
    <row r="147" spans="4:14">
      <c r="D147" s="26"/>
      <c r="E147" s="15" t="s">
        <v>1896</v>
      </c>
      <c r="F147" s="5">
        <v>143</v>
      </c>
      <c r="G147" s="123" t="s">
        <v>1240</v>
      </c>
      <c r="H147" s="9" t="s">
        <v>1258</v>
      </c>
      <c r="I147" s="5">
        <v>100</v>
      </c>
      <c r="J147" s="5"/>
      <c r="K147" s="5"/>
      <c r="L147" s="4">
        <f t="shared" si="5"/>
        <v>100</v>
      </c>
      <c r="M147" s="21">
        <v>0.1</v>
      </c>
      <c r="N147" s="31">
        <f t="shared" si="6"/>
        <v>10</v>
      </c>
    </row>
    <row r="148" spans="4:14">
      <c r="D148" s="26"/>
      <c r="E148" s="15" t="s">
        <v>1897</v>
      </c>
      <c r="F148" s="5">
        <v>144</v>
      </c>
      <c r="G148" s="123" t="s">
        <v>1241</v>
      </c>
      <c r="H148" s="9" t="s">
        <v>1258</v>
      </c>
      <c r="I148" s="5">
        <v>100</v>
      </c>
      <c r="J148" s="5"/>
      <c r="K148" s="5"/>
      <c r="L148" s="4">
        <f t="shared" si="5"/>
        <v>100</v>
      </c>
      <c r="M148" s="21">
        <v>0.1</v>
      </c>
      <c r="N148" s="31">
        <f t="shared" si="6"/>
        <v>10</v>
      </c>
    </row>
    <row r="149" spans="4:14">
      <c r="D149" s="26"/>
      <c r="E149" s="15" t="s">
        <v>1898</v>
      </c>
      <c r="F149" s="5">
        <v>145</v>
      </c>
      <c r="G149" s="123" t="s">
        <v>1242</v>
      </c>
      <c r="H149" s="9" t="s">
        <v>1258</v>
      </c>
      <c r="I149" s="5">
        <v>100</v>
      </c>
      <c r="J149" s="5"/>
      <c r="K149" s="5"/>
      <c r="L149" s="4">
        <f t="shared" si="5"/>
        <v>100</v>
      </c>
      <c r="M149" s="21">
        <v>0.1</v>
      </c>
      <c r="N149" s="31">
        <f t="shared" si="6"/>
        <v>10</v>
      </c>
    </row>
    <row r="150" spans="4:14">
      <c r="D150" s="26"/>
      <c r="E150" s="15" t="s">
        <v>1899</v>
      </c>
      <c r="F150" s="5">
        <v>146</v>
      </c>
      <c r="G150" s="123" t="s">
        <v>1243</v>
      </c>
      <c r="H150" s="9" t="s">
        <v>1258</v>
      </c>
      <c r="I150" s="5">
        <v>400</v>
      </c>
      <c r="J150" s="5"/>
      <c r="K150" s="5"/>
      <c r="L150" s="4">
        <f t="shared" si="5"/>
        <v>400</v>
      </c>
      <c r="M150" s="21">
        <v>7.0000000000000007E-2</v>
      </c>
      <c r="N150" s="31">
        <f t="shared" si="6"/>
        <v>28.000000000000004</v>
      </c>
    </row>
    <row r="151" spans="4:14">
      <c r="D151" s="26"/>
      <c r="E151" s="15" t="s">
        <v>1900</v>
      </c>
      <c r="F151" s="5">
        <v>147</v>
      </c>
      <c r="G151" s="123" t="s">
        <v>1244</v>
      </c>
      <c r="H151" s="9" t="s">
        <v>1258</v>
      </c>
      <c r="I151" s="5">
        <v>100</v>
      </c>
      <c r="J151" s="5"/>
      <c r="K151" s="5"/>
      <c r="L151" s="4">
        <f t="shared" si="5"/>
        <v>100</v>
      </c>
      <c r="M151" s="21">
        <v>0.1</v>
      </c>
      <c r="N151" s="31">
        <f t="shared" si="6"/>
        <v>10</v>
      </c>
    </row>
    <row r="152" spans="4:14">
      <c r="D152" s="26"/>
      <c r="E152" s="15" t="s">
        <v>1901</v>
      </c>
      <c r="F152" s="5">
        <v>148</v>
      </c>
      <c r="G152" s="123" t="s">
        <v>1245</v>
      </c>
      <c r="H152" s="9" t="s">
        <v>1258</v>
      </c>
      <c r="I152" s="5">
        <v>100</v>
      </c>
      <c r="J152" s="5"/>
      <c r="K152" s="5"/>
      <c r="L152" s="4">
        <f t="shared" si="5"/>
        <v>100</v>
      </c>
      <c r="M152" s="21">
        <v>0.1</v>
      </c>
      <c r="N152" s="31">
        <f t="shared" si="6"/>
        <v>10</v>
      </c>
    </row>
    <row r="153" spans="4:14">
      <c r="D153" s="26"/>
      <c r="E153" s="15" t="s">
        <v>1902</v>
      </c>
      <c r="F153" s="5">
        <v>149</v>
      </c>
      <c r="G153" s="123" t="s">
        <v>1246</v>
      </c>
      <c r="H153" s="9" t="s">
        <v>1258</v>
      </c>
      <c r="I153" s="5">
        <v>100</v>
      </c>
      <c r="J153" s="5"/>
      <c r="K153" s="5"/>
      <c r="L153" s="4">
        <f t="shared" si="5"/>
        <v>100</v>
      </c>
      <c r="M153" s="21">
        <v>0.1</v>
      </c>
      <c r="N153" s="31">
        <f t="shared" si="6"/>
        <v>10</v>
      </c>
    </row>
    <row r="154" spans="4:14">
      <c r="D154" s="26"/>
      <c r="E154" s="15" t="s">
        <v>1903</v>
      </c>
      <c r="F154" s="5">
        <v>150</v>
      </c>
      <c r="G154" s="123" t="s">
        <v>1248</v>
      </c>
      <c r="H154" s="9" t="s">
        <v>1258</v>
      </c>
      <c r="I154" s="5">
        <v>50</v>
      </c>
      <c r="J154" s="5"/>
      <c r="K154" s="5"/>
      <c r="L154" s="4">
        <f t="shared" si="5"/>
        <v>50</v>
      </c>
      <c r="M154" s="21">
        <v>0.09</v>
      </c>
      <c r="N154" s="31">
        <f t="shared" si="6"/>
        <v>4.5</v>
      </c>
    </row>
    <row r="155" spans="4:14">
      <c r="D155" s="26"/>
      <c r="E155" s="15" t="s">
        <v>1904</v>
      </c>
      <c r="F155" s="5">
        <v>151</v>
      </c>
      <c r="G155" s="123" t="s">
        <v>1250</v>
      </c>
      <c r="H155" s="9" t="s">
        <v>1258</v>
      </c>
      <c r="I155" s="5">
        <v>100</v>
      </c>
      <c r="J155" s="5"/>
      <c r="K155" s="5"/>
      <c r="L155" s="4">
        <f t="shared" si="5"/>
        <v>100</v>
      </c>
      <c r="M155" s="21">
        <v>0.09</v>
      </c>
      <c r="N155" s="31">
        <f t="shared" si="6"/>
        <v>9</v>
      </c>
    </row>
    <row r="156" spans="4:14">
      <c r="D156" s="26"/>
      <c r="E156" s="15" t="s">
        <v>1905</v>
      </c>
      <c r="F156" s="5">
        <v>152</v>
      </c>
      <c r="G156" s="123" t="s">
        <v>1251</v>
      </c>
      <c r="H156" s="9" t="s">
        <v>1258</v>
      </c>
      <c r="I156" s="5">
        <v>50</v>
      </c>
      <c r="J156" s="5"/>
      <c r="K156" s="5"/>
      <c r="L156" s="4">
        <f t="shared" si="5"/>
        <v>50</v>
      </c>
      <c r="M156" s="21">
        <v>1</v>
      </c>
      <c r="N156" s="31">
        <f t="shared" si="6"/>
        <v>50</v>
      </c>
    </row>
    <row r="157" spans="4:14">
      <c r="D157" s="26"/>
      <c r="E157" s="15" t="s">
        <v>1906</v>
      </c>
      <c r="F157" s="5">
        <v>153</v>
      </c>
      <c r="G157" s="9" t="s">
        <v>1254</v>
      </c>
      <c r="H157" s="9" t="s">
        <v>1258</v>
      </c>
      <c r="I157" s="5">
        <v>100</v>
      </c>
      <c r="J157" s="5"/>
      <c r="K157" s="5"/>
      <c r="L157" s="4">
        <f t="shared" si="5"/>
        <v>100</v>
      </c>
      <c r="M157" s="21">
        <v>0.06</v>
      </c>
      <c r="N157" s="31">
        <f t="shared" si="6"/>
        <v>6</v>
      </c>
    </row>
    <row r="158" spans="4:14">
      <c r="D158" s="190"/>
      <c r="E158" s="15" t="s">
        <v>1907</v>
      </c>
      <c r="F158" s="5">
        <v>154</v>
      </c>
      <c r="G158" s="9" t="s">
        <v>1256</v>
      </c>
      <c r="H158" s="9" t="s">
        <v>1258</v>
      </c>
      <c r="I158" s="124">
        <v>100</v>
      </c>
      <c r="J158" s="124"/>
      <c r="K158" s="124"/>
      <c r="L158" s="4">
        <f t="shared" si="5"/>
        <v>100</v>
      </c>
      <c r="M158" s="116">
        <v>0.08</v>
      </c>
      <c r="N158" s="31">
        <f t="shared" si="6"/>
        <v>8</v>
      </c>
    </row>
    <row r="159" spans="4:14">
      <c r="D159" s="190"/>
      <c r="E159" s="15" t="s">
        <v>1908</v>
      </c>
      <c r="F159" s="5">
        <v>155</v>
      </c>
      <c r="G159" s="9" t="s">
        <v>1260</v>
      </c>
      <c r="H159" s="29" t="s">
        <v>1259</v>
      </c>
      <c r="I159" s="124">
        <v>1000</v>
      </c>
      <c r="J159" s="124"/>
      <c r="K159" s="124"/>
      <c r="L159" s="4">
        <f t="shared" si="5"/>
        <v>1000</v>
      </c>
      <c r="M159" s="22">
        <v>0.3</v>
      </c>
      <c r="N159" s="31">
        <f t="shared" si="6"/>
        <v>300</v>
      </c>
    </row>
    <row r="160" spans="4:14">
      <c r="D160" s="190"/>
      <c r="E160" s="15" t="s">
        <v>1909</v>
      </c>
      <c r="F160" s="5">
        <v>156</v>
      </c>
      <c r="G160" s="7" t="s">
        <v>1265</v>
      </c>
      <c r="H160" s="29" t="s">
        <v>1259</v>
      </c>
      <c r="I160" s="124">
        <v>100</v>
      </c>
      <c r="J160" s="124"/>
      <c r="K160" s="124"/>
      <c r="L160" s="4">
        <f t="shared" si="5"/>
        <v>100</v>
      </c>
      <c r="M160" s="22">
        <v>0.4</v>
      </c>
      <c r="N160" s="31">
        <f t="shared" si="6"/>
        <v>40</v>
      </c>
    </row>
    <row r="161" spans="4:14">
      <c r="D161" s="190"/>
      <c r="E161" s="15" t="s">
        <v>1910</v>
      </c>
      <c r="F161" s="5">
        <v>157</v>
      </c>
      <c r="G161" s="9" t="s">
        <v>1266</v>
      </c>
      <c r="H161" s="29" t="s">
        <v>1259</v>
      </c>
      <c r="I161" s="124">
        <v>100</v>
      </c>
      <c r="J161" s="124"/>
      <c r="K161" s="124"/>
      <c r="L161" s="4">
        <f t="shared" si="5"/>
        <v>100</v>
      </c>
      <c r="M161" s="22">
        <v>0.4</v>
      </c>
      <c r="N161" s="31">
        <f t="shared" si="6"/>
        <v>40</v>
      </c>
    </row>
    <row r="162" spans="4:14">
      <c r="D162" s="190"/>
      <c r="E162" s="15" t="s">
        <v>1911</v>
      </c>
      <c r="F162" s="5">
        <v>158</v>
      </c>
      <c r="G162" s="9" t="s">
        <v>1275</v>
      </c>
      <c r="H162" s="29" t="s">
        <v>1276</v>
      </c>
      <c r="I162" s="124">
        <f>5900+1200</f>
        <v>7100</v>
      </c>
      <c r="J162" s="124"/>
      <c r="K162" s="124">
        <f>10+702+10+5</f>
        <v>727</v>
      </c>
      <c r="L162" s="4">
        <f t="shared" si="5"/>
        <v>6373</v>
      </c>
      <c r="M162" s="22">
        <v>1</v>
      </c>
      <c r="N162" s="31">
        <f t="shared" si="6"/>
        <v>6373</v>
      </c>
    </row>
    <row r="163" spans="4:14">
      <c r="D163" s="190"/>
      <c r="E163" s="15" t="s">
        <v>1912</v>
      </c>
      <c r="F163" s="5">
        <v>159</v>
      </c>
      <c r="G163" s="9" t="s">
        <v>1302</v>
      </c>
      <c r="H163" s="29" t="s">
        <v>1262</v>
      </c>
      <c r="I163" s="124">
        <v>0</v>
      </c>
      <c r="J163" s="124">
        <f>400+1195</f>
        <v>1595</v>
      </c>
      <c r="K163" s="124">
        <f>400+1195</f>
        <v>1595</v>
      </c>
      <c r="L163" s="4">
        <f t="shared" ref="L163:L170" si="7">I163+J163-K163</f>
        <v>0</v>
      </c>
      <c r="M163" s="22">
        <v>1.2</v>
      </c>
      <c r="N163" s="31">
        <f t="shared" ref="N163:N164" si="8">L163*M163</f>
        <v>0</v>
      </c>
    </row>
    <row r="164" spans="4:14">
      <c r="D164" s="190"/>
      <c r="E164" s="15" t="s">
        <v>1913</v>
      </c>
      <c r="F164" s="5">
        <v>160</v>
      </c>
      <c r="G164" s="9" t="s">
        <v>1304</v>
      </c>
      <c r="H164" s="29" t="s">
        <v>1262</v>
      </c>
      <c r="I164" s="124">
        <v>0</v>
      </c>
      <c r="J164" s="124">
        <f>400+2000+8000+6000</f>
        <v>16400</v>
      </c>
      <c r="K164" s="124">
        <f>400+2000</f>
        <v>2400</v>
      </c>
      <c r="L164" s="4">
        <f t="shared" si="7"/>
        <v>14000</v>
      </c>
      <c r="M164" s="22">
        <v>0.18</v>
      </c>
      <c r="N164" s="31">
        <f t="shared" si="8"/>
        <v>2520</v>
      </c>
    </row>
    <row r="165" spans="4:14">
      <c r="D165" s="190"/>
      <c r="E165" s="15" t="s">
        <v>1914</v>
      </c>
      <c r="F165" s="5">
        <v>161</v>
      </c>
      <c r="G165" s="9" t="s">
        <v>1315</v>
      </c>
      <c r="H165" s="29" t="s">
        <v>1316</v>
      </c>
      <c r="I165" s="124">
        <v>0</v>
      </c>
      <c r="J165" s="124">
        <f>700+1000</f>
        <v>1700</v>
      </c>
      <c r="K165" s="124">
        <f>700+1000</f>
        <v>1700</v>
      </c>
      <c r="L165" s="4">
        <f t="shared" si="7"/>
        <v>0</v>
      </c>
      <c r="M165" s="22">
        <v>2</v>
      </c>
      <c r="N165" s="31">
        <f t="shared" ref="N165:N169" si="9">L165*M165</f>
        <v>0</v>
      </c>
    </row>
    <row r="166" spans="4:14">
      <c r="D166" s="190"/>
      <c r="E166" s="15" t="s">
        <v>1915</v>
      </c>
      <c r="F166" s="5">
        <v>162</v>
      </c>
      <c r="G166" s="9" t="s">
        <v>1348</v>
      </c>
      <c r="H166" s="29" t="s">
        <v>1349</v>
      </c>
      <c r="I166" s="124">
        <v>0</v>
      </c>
      <c r="J166" s="124">
        <v>50</v>
      </c>
      <c r="K166" s="124">
        <v>50</v>
      </c>
      <c r="L166" s="4">
        <f t="shared" si="7"/>
        <v>0</v>
      </c>
      <c r="M166" s="22">
        <v>15</v>
      </c>
      <c r="N166" s="31">
        <f t="shared" si="9"/>
        <v>0</v>
      </c>
    </row>
    <row r="167" spans="4:14">
      <c r="D167" s="190"/>
      <c r="E167" s="15" t="s">
        <v>1916</v>
      </c>
      <c r="F167" s="5">
        <v>163</v>
      </c>
      <c r="G167" s="150" t="s">
        <v>1367</v>
      </c>
      <c r="H167" s="29" t="s">
        <v>1349</v>
      </c>
      <c r="I167" s="124">
        <v>0</v>
      </c>
      <c r="J167" s="124">
        <v>50</v>
      </c>
      <c r="K167" s="124"/>
      <c r="L167" s="4">
        <f t="shared" si="7"/>
        <v>50</v>
      </c>
      <c r="M167" s="22">
        <v>75</v>
      </c>
      <c r="N167" s="31">
        <f>L167*M167</f>
        <v>3750</v>
      </c>
    </row>
    <row r="168" spans="4:14">
      <c r="D168" s="190"/>
      <c r="E168" s="15" t="s">
        <v>1917</v>
      </c>
      <c r="F168" s="5">
        <v>164</v>
      </c>
      <c r="G168" s="6" t="s">
        <v>1923</v>
      </c>
      <c r="H168" s="29" t="s">
        <v>1224</v>
      </c>
      <c r="I168" s="124">
        <v>0</v>
      </c>
      <c r="J168" s="124">
        <v>5000</v>
      </c>
      <c r="K168" s="124">
        <v>0</v>
      </c>
      <c r="L168" s="4">
        <v>5000</v>
      </c>
      <c r="M168" s="22">
        <v>0.06</v>
      </c>
      <c r="N168" s="31">
        <f t="shared" si="9"/>
        <v>300</v>
      </c>
    </row>
    <row r="169" spans="4:14">
      <c r="D169" s="190"/>
      <c r="E169" s="15" t="s">
        <v>1918</v>
      </c>
      <c r="F169" s="5">
        <v>165</v>
      </c>
      <c r="G169" s="6" t="s">
        <v>1924</v>
      </c>
      <c r="H169" s="29" t="s">
        <v>1224</v>
      </c>
      <c r="I169" s="124">
        <v>0</v>
      </c>
      <c r="J169" s="124">
        <v>5000</v>
      </c>
      <c r="K169" s="124">
        <v>0</v>
      </c>
      <c r="L169" s="4">
        <v>5000</v>
      </c>
      <c r="M169" s="22">
        <v>0.12</v>
      </c>
      <c r="N169" s="31">
        <f t="shared" si="9"/>
        <v>600</v>
      </c>
    </row>
    <row r="170" spans="4:14">
      <c r="D170" s="190"/>
      <c r="E170" s="15" t="s">
        <v>1919</v>
      </c>
      <c r="F170" s="5">
        <v>166</v>
      </c>
      <c r="G170" s="10" t="s">
        <v>1925</v>
      </c>
      <c r="H170" s="29" t="s">
        <v>1224</v>
      </c>
      <c r="I170" s="124"/>
      <c r="J170" s="124"/>
      <c r="K170" s="124"/>
      <c r="L170" s="4">
        <f t="shared" si="7"/>
        <v>0</v>
      </c>
      <c r="M170" s="9"/>
      <c r="N170" s="31">
        <f t="shared" si="6"/>
        <v>0</v>
      </c>
    </row>
    <row r="171" spans="4:14">
      <c r="D171" s="190"/>
      <c r="E171" s="15" t="s">
        <v>1951</v>
      </c>
      <c r="F171" s="5">
        <v>167</v>
      </c>
      <c r="G171" s="10" t="s">
        <v>1926</v>
      </c>
      <c r="H171" s="29" t="s">
        <v>1224</v>
      </c>
      <c r="I171" s="188">
        <v>0</v>
      </c>
      <c r="J171" s="124"/>
      <c r="K171" s="124"/>
      <c r="L171" s="4">
        <f t="shared" ref="L171:L200" si="10">I171+J171-K171</f>
        <v>0</v>
      </c>
      <c r="M171" s="9"/>
      <c r="N171" s="31">
        <f t="shared" ref="N171:N202" si="11">L171*M171</f>
        <v>0</v>
      </c>
    </row>
    <row r="172" spans="4:14">
      <c r="D172" s="190"/>
      <c r="E172" s="15" t="s">
        <v>1952</v>
      </c>
      <c r="F172" s="5">
        <v>168</v>
      </c>
      <c r="G172" s="183" t="s">
        <v>1927</v>
      </c>
      <c r="H172" s="29" t="s">
        <v>1224</v>
      </c>
      <c r="I172" s="188">
        <v>0</v>
      </c>
      <c r="J172" s="124"/>
      <c r="K172" s="124"/>
      <c r="L172" s="4">
        <f t="shared" si="10"/>
        <v>0</v>
      </c>
      <c r="M172" s="9"/>
      <c r="N172" s="31">
        <f t="shared" si="11"/>
        <v>0</v>
      </c>
    </row>
    <row r="173" spans="4:14">
      <c r="D173" s="190"/>
      <c r="E173" s="15" t="s">
        <v>1386</v>
      </c>
      <c r="F173" s="5">
        <v>169</v>
      </c>
      <c r="G173" s="10" t="s">
        <v>1928</v>
      </c>
      <c r="H173" s="29" t="s">
        <v>1224</v>
      </c>
      <c r="I173" s="188">
        <v>0</v>
      </c>
      <c r="J173" s="124"/>
      <c r="K173" s="124"/>
      <c r="L173" s="4">
        <f t="shared" si="10"/>
        <v>0</v>
      </c>
      <c r="M173" s="9"/>
      <c r="N173" s="31">
        <f t="shared" si="11"/>
        <v>0</v>
      </c>
    </row>
    <row r="174" spans="4:14">
      <c r="D174" s="190"/>
      <c r="E174" s="15" t="s">
        <v>1389</v>
      </c>
      <c r="F174" s="5">
        <v>170</v>
      </c>
      <c r="G174" s="183" t="s">
        <v>1929</v>
      </c>
      <c r="H174" s="29" t="s">
        <v>1224</v>
      </c>
      <c r="I174" s="188">
        <v>0</v>
      </c>
      <c r="J174" s="124">
        <v>5000</v>
      </c>
      <c r="K174" s="124"/>
      <c r="L174" s="4">
        <f t="shared" si="10"/>
        <v>5000</v>
      </c>
      <c r="M174" s="9">
        <v>0.14000000000000001</v>
      </c>
      <c r="N174" s="31">
        <f t="shared" si="11"/>
        <v>700.00000000000011</v>
      </c>
    </row>
    <row r="175" spans="4:14">
      <c r="D175" s="190"/>
      <c r="E175" s="15" t="s">
        <v>1953</v>
      </c>
      <c r="F175" s="5">
        <v>171</v>
      </c>
      <c r="G175" s="118" t="s">
        <v>1930</v>
      </c>
      <c r="H175" s="29" t="s">
        <v>1224</v>
      </c>
      <c r="I175" s="188">
        <v>0</v>
      </c>
      <c r="J175" s="124"/>
      <c r="K175" s="124"/>
      <c r="L175" s="4">
        <f t="shared" si="10"/>
        <v>0</v>
      </c>
      <c r="M175" s="9"/>
      <c r="N175" s="31">
        <f t="shared" si="11"/>
        <v>0</v>
      </c>
    </row>
    <row r="176" spans="4:14">
      <c r="D176" s="190"/>
      <c r="E176" s="15" t="s">
        <v>1954</v>
      </c>
      <c r="F176" s="5">
        <v>172</v>
      </c>
      <c r="G176" s="184" t="s">
        <v>1931</v>
      </c>
      <c r="H176" s="29" t="s">
        <v>1224</v>
      </c>
      <c r="I176" s="188">
        <v>0</v>
      </c>
      <c r="J176" s="124"/>
      <c r="K176" s="124"/>
      <c r="L176" s="4">
        <f t="shared" si="10"/>
        <v>0</v>
      </c>
      <c r="M176" s="9"/>
      <c r="N176" s="31">
        <f t="shared" si="11"/>
        <v>0</v>
      </c>
    </row>
    <row r="177" spans="1:14">
      <c r="D177" s="190"/>
      <c r="E177" s="15" t="s">
        <v>1955</v>
      </c>
      <c r="F177" s="5">
        <v>173</v>
      </c>
      <c r="G177" s="118" t="s">
        <v>1932</v>
      </c>
      <c r="H177" s="29" t="s">
        <v>1224</v>
      </c>
      <c r="I177" s="188">
        <v>0</v>
      </c>
      <c r="J177" s="124"/>
      <c r="K177" s="124"/>
      <c r="L177" s="4">
        <f t="shared" si="10"/>
        <v>0</v>
      </c>
      <c r="M177" s="9"/>
      <c r="N177" s="31">
        <f t="shared" si="11"/>
        <v>0</v>
      </c>
    </row>
    <row r="178" spans="1:14">
      <c r="D178" s="190"/>
      <c r="E178" s="15" t="s">
        <v>1956</v>
      </c>
      <c r="F178" s="5">
        <v>174</v>
      </c>
      <c r="G178" s="9" t="s">
        <v>1933</v>
      </c>
      <c r="H178" s="29" t="s">
        <v>1224</v>
      </c>
      <c r="I178" s="188">
        <v>0</v>
      </c>
      <c r="J178" s="124"/>
      <c r="K178" s="124"/>
      <c r="L178" s="4">
        <f t="shared" si="10"/>
        <v>0</v>
      </c>
      <c r="M178" s="9"/>
      <c r="N178" s="31">
        <f t="shared" si="11"/>
        <v>0</v>
      </c>
    </row>
    <row r="179" spans="1:14">
      <c r="D179" s="190"/>
      <c r="E179" s="15" t="s">
        <v>1957</v>
      </c>
      <c r="F179" s="5">
        <v>175</v>
      </c>
      <c r="G179" s="9" t="s">
        <v>1934</v>
      </c>
      <c r="H179" s="29" t="s">
        <v>1224</v>
      </c>
      <c r="I179" s="188">
        <v>0</v>
      </c>
      <c r="J179" s="124"/>
      <c r="K179" s="124"/>
      <c r="L179" s="4">
        <f t="shared" si="10"/>
        <v>0</v>
      </c>
      <c r="M179" s="9"/>
      <c r="N179" s="31">
        <f t="shared" si="11"/>
        <v>0</v>
      </c>
    </row>
    <row r="180" spans="1:14">
      <c r="D180" s="190"/>
      <c r="E180" s="15" t="s">
        <v>1958</v>
      </c>
      <c r="F180" s="5">
        <v>176</v>
      </c>
      <c r="G180" s="9" t="s">
        <v>1935</v>
      </c>
      <c r="H180" s="29" t="s">
        <v>1224</v>
      </c>
      <c r="I180" s="188">
        <v>0</v>
      </c>
      <c r="J180" s="124">
        <v>15000</v>
      </c>
      <c r="K180" s="124"/>
      <c r="L180" s="4">
        <f t="shared" si="10"/>
        <v>15000</v>
      </c>
      <c r="M180" s="9">
        <v>0.1</v>
      </c>
      <c r="N180" s="31">
        <f t="shared" si="11"/>
        <v>1500</v>
      </c>
    </row>
    <row r="181" spans="1:14">
      <c r="A181" s="15"/>
      <c r="B181" s="15"/>
      <c r="C181" s="135"/>
      <c r="D181" s="190"/>
      <c r="E181" s="15" t="s">
        <v>1959</v>
      </c>
      <c r="F181" s="5">
        <v>177</v>
      </c>
      <c r="G181" s="9" t="s">
        <v>1936</v>
      </c>
      <c r="H181" s="29" t="s">
        <v>1224</v>
      </c>
      <c r="I181" s="188">
        <v>0</v>
      </c>
      <c r="J181" s="124"/>
      <c r="K181" s="124"/>
      <c r="L181" s="4">
        <f t="shared" si="10"/>
        <v>0</v>
      </c>
      <c r="M181" s="9"/>
      <c r="N181" s="31">
        <f t="shared" si="11"/>
        <v>0</v>
      </c>
    </row>
    <row r="182" spans="1:14">
      <c r="A182" s="15"/>
      <c r="B182" s="15"/>
      <c r="C182" s="135"/>
      <c r="D182" s="190"/>
      <c r="E182" s="15" t="s">
        <v>1960</v>
      </c>
      <c r="F182" s="5">
        <v>178</v>
      </c>
      <c r="G182" s="9" t="s">
        <v>1937</v>
      </c>
      <c r="H182" s="29" t="s">
        <v>1224</v>
      </c>
      <c r="I182" s="188">
        <v>0</v>
      </c>
      <c r="J182" s="124"/>
      <c r="K182" s="124"/>
      <c r="L182" s="4">
        <f t="shared" si="10"/>
        <v>0</v>
      </c>
      <c r="M182" s="9"/>
      <c r="N182" s="31">
        <f t="shared" si="11"/>
        <v>0</v>
      </c>
    </row>
    <row r="183" spans="1:14">
      <c r="A183" s="15"/>
      <c r="B183" s="15"/>
      <c r="C183" s="135"/>
      <c r="D183" s="190"/>
      <c r="E183" s="15" t="s">
        <v>1961</v>
      </c>
      <c r="F183" s="5">
        <v>179</v>
      </c>
      <c r="G183" s="9" t="s">
        <v>1938</v>
      </c>
      <c r="H183" s="29" t="s">
        <v>1224</v>
      </c>
      <c r="I183" s="188">
        <v>0</v>
      </c>
      <c r="J183" s="124"/>
      <c r="K183" s="124"/>
      <c r="L183" s="4">
        <f t="shared" si="10"/>
        <v>0</v>
      </c>
      <c r="M183" s="9"/>
      <c r="N183" s="31">
        <f t="shared" si="11"/>
        <v>0</v>
      </c>
    </row>
    <row r="184" spans="1:14">
      <c r="A184" s="15"/>
      <c r="B184" s="15"/>
      <c r="C184" s="135"/>
      <c r="D184" s="190"/>
      <c r="E184" s="15" t="s">
        <v>1962</v>
      </c>
      <c r="F184" s="5">
        <v>180</v>
      </c>
      <c r="G184" s="9" t="s">
        <v>1939</v>
      </c>
      <c r="H184" s="29" t="s">
        <v>1224</v>
      </c>
      <c r="I184" s="188">
        <v>0</v>
      </c>
      <c r="J184" s="124"/>
      <c r="K184" s="124"/>
      <c r="L184" s="4">
        <f t="shared" si="10"/>
        <v>0</v>
      </c>
      <c r="M184" s="9"/>
      <c r="N184" s="31">
        <f t="shared" si="11"/>
        <v>0</v>
      </c>
    </row>
    <row r="185" spans="1:14">
      <c r="A185" s="15"/>
      <c r="B185" s="15"/>
      <c r="C185" s="135"/>
      <c r="D185" s="190"/>
      <c r="E185" s="15" t="s">
        <v>1963</v>
      </c>
      <c r="F185" s="5">
        <v>181</v>
      </c>
      <c r="G185" s="9" t="s">
        <v>2017</v>
      </c>
      <c r="H185" s="29" t="s">
        <v>1224</v>
      </c>
      <c r="I185" s="188">
        <v>0</v>
      </c>
      <c r="J185" s="124">
        <v>7000</v>
      </c>
      <c r="K185" s="124">
        <v>100</v>
      </c>
      <c r="L185" s="4">
        <f t="shared" si="10"/>
        <v>6900</v>
      </c>
      <c r="M185" s="9">
        <v>0.25</v>
      </c>
      <c r="N185" s="31">
        <f t="shared" si="11"/>
        <v>1725</v>
      </c>
    </row>
    <row r="186" spans="1:14">
      <c r="A186" s="15"/>
      <c r="B186" s="15"/>
      <c r="C186" s="135"/>
      <c r="D186" s="190"/>
      <c r="E186" s="15" t="s">
        <v>1964</v>
      </c>
      <c r="F186" s="5">
        <v>182</v>
      </c>
      <c r="G186" s="185" t="s">
        <v>1940</v>
      </c>
      <c r="H186" s="29" t="s">
        <v>1224</v>
      </c>
      <c r="I186" s="188">
        <v>0</v>
      </c>
      <c r="J186" s="124">
        <v>5000</v>
      </c>
      <c r="K186" s="124"/>
      <c r="L186" s="4">
        <f t="shared" si="10"/>
        <v>5000</v>
      </c>
      <c r="M186" s="9">
        <v>0.1</v>
      </c>
      <c r="N186" s="31">
        <f t="shared" si="11"/>
        <v>500</v>
      </c>
    </row>
    <row r="187" spans="1:14">
      <c r="A187" s="15"/>
      <c r="B187" s="15"/>
      <c r="C187" s="135"/>
      <c r="D187" s="190"/>
      <c r="E187" s="15" t="s">
        <v>1965</v>
      </c>
      <c r="F187" s="5">
        <v>183</v>
      </c>
      <c r="G187" s="185" t="s">
        <v>1941</v>
      </c>
      <c r="H187" s="29" t="s">
        <v>1224</v>
      </c>
      <c r="I187" s="188">
        <v>0</v>
      </c>
      <c r="J187" s="124"/>
      <c r="K187" s="124"/>
      <c r="L187" s="4">
        <f t="shared" si="10"/>
        <v>0</v>
      </c>
      <c r="M187" s="9"/>
      <c r="N187" s="31">
        <f t="shared" si="11"/>
        <v>0</v>
      </c>
    </row>
    <row r="188" spans="1:14">
      <c r="A188" s="15"/>
      <c r="B188" s="15"/>
      <c r="C188" s="135"/>
      <c r="D188" s="190"/>
      <c r="E188" s="15" t="s">
        <v>1966</v>
      </c>
      <c r="F188" s="5">
        <v>184</v>
      </c>
      <c r="G188" s="183" t="s">
        <v>1942</v>
      </c>
      <c r="H188" s="29" t="s">
        <v>1224</v>
      </c>
      <c r="I188" s="188">
        <v>0</v>
      </c>
      <c r="J188" s="124">
        <f>5000+5000</f>
        <v>10000</v>
      </c>
      <c r="K188" s="124"/>
      <c r="L188" s="4">
        <f t="shared" si="10"/>
        <v>10000</v>
      </c>
      <c r="M188" s="9">
        <v>0.14000000000000001</v>
      </c>
      <c r="N188" s="31">
        <f t="shared" si="11"/>
        <v>1400.0000000000002</v>
      </c>
    </row>
    <row r="189" spans="1:14">
      <c r="A189" s="15"/>
      <c r="B189" s="15"/>
      <c r="C189" s="135"/>
      <c r="D189" s="190"/>
      <c r="E189" s="15" t="s">
        <v>1967</v>
      </c>
      <c r="F189" s="5">
        <v>185</v>
      </c>
      <c r="G189" s="185" t="s">
        <v>1943</v>
      </c>
      <c r="H189" s="29" t="s">
        <v>1224</v>
      </c>
      <c r="I189" s="188">
        <v>0</v>
      </c>
      <c r="J189" s="124"/>
      <c r="K189" s="124"/>
      <c r="L189" s="4">
        <f t="shared" si="10"/>
        <v>0</v>
      </c>
      <c r="M189" s="9"/>
      <c r="N189" s="31">
        <f t="shared" si="11"/>
        <v>0</v>
      </c>
    </row>
    <row r="190" spans="1:14">
      <c r="A190" s="15"/>
      <c r="B190" s="15"/>
      <c r="C190" s="135"/>
      <c r="D190" s="190"/>
      <c r="E190" s="15" t="s">
        <v>1968</v>
      </c>
      <c r="F190" s="5">
        <v>186</v>
      </c>
      <c r="G190" s="185" t="s">
        <v>1944</v>
      </c>
      <c r="H190" s="29" t="s">
        <v>1224</v>
      </c>
      <c r="I190" s="188">
        <v>0</v>
      </c>
      <c r="J190" s="124">
        <v>5000</v>
      </c>
      <c r="K190" s="124"/>
      <c r="L190" s="4">
        <f t="shared" si="10"/>
        <v>5000</v>
      </c>
      <c r="M190" s="9">
        <v>0.15</v>
      </c>
      <c r="N190" s="31">
        <f t="shared" si="11"/>
        <v>750</v>
      </c>
    </row>
    <row r="191" spans="1:14">
      <c r="A191" s="15"/>
      <c r="B191" s="15"/>
      <c r="C191" s="135"/>
      <c r="D191" s="190"/>
      <c r="E191" s="15" t="s">
        <v>1969</v>
      </c>
      <c r="F191" s="5">
        <v>187</v>
      </c>
      <c r="G191" s="119" t="s">
        <v>2016</v>
      </c>
      <c r="H191" s="29" t="s">
        <v>1224</v>
      </c>
      <c r="I191" s="188">
        <v>0</v>
      </c>
      <c r="J191" s="124">
        <f>200+12000</f>
        <v>12200</v>
      </c>
      <c r="K191" s="124"/>
      <c r="L191" s="4">
        <f t="shared" si="10"/>
        <v>12200</v>
      </c>
      <c r="M191" s="9">
        <v>0.15</v>
      </c>
      <c r="N191" s="31">
        <f t="shared" si="11"/>
        <v>1830</v>
      </c>
    </row>
    <row r="192" spans="1:14">
      <c r="A192" s="15"/>
      <c r="B192" s="15"/>
      <c r="C192" s="135"/>
      <c r="D192" s="190"/>
      <c r="E192" s="15" t="s">
        <v>1970</v>
      </c>
      <c r="F192" s="5">
        <v>188</v>
      </c>
      <c r="G192" s="185" t="s">
        <v>2011</v>
      </c>
      <c r="H192" s="29" t="s">
        <v>1224</v>
      </c>
      <c r="I192" s="188">
        <v>0</v>
      </c>
      <c r="J192" s="124">
        <f>15000</f>
        <v>15000</v>
      </c>
      <c r="K192" s="124"/>
      <c r="L192" s="4">
        <f t="shared" si="10"/>
        <v>15000</v>
      </c>
      <c r="M192" s="9">
        <v>0.1</v>
      </c>
      <c r="N192" s="31">
        <f t="shared" si="11"/>
        <v>1500</v>
      </c>
    </row>
    <row r="193" spans="1:14">
      <c r="A193" s="15"/>
      <c r="B193" s="15"/>
      <c r="C193" s="135"/>
      <c r="D193" s="190"/>
      <c r="E193" s="15" t="s">
        <v>1971</v>
      </c>
      <c r="F193" s="5">
        <v>189</v>
      </c>
      <c r="G193" s="9" t="s">
        <v>1945</v>
      </c>
      <c r="H193" s="29" t="s">
        <v>1224</v>
      </c>
      <c r="I193" s="188">
        <v>0</v>
      </c>
      <c r="J193" s="124">
        <v>5000</v>
      </c>
      <c r="K193" s="124"/>
      <c r="L193" s="4">
        <f t="shared" si="10"/>
        <v>5000</v>
      </c>
      <c r="M193" s="9">
        <v>0.1</v>
      </c>
      <c r="N193" s="31">
        <f t="shared" si="11"/>
        <v>500</v>
      </c>
    </row>
    <row r="194" spans="1:14">
      <c r="A194" s="15"/>
      <c r="B194" s="15"/>
      <c r="C194" s="135"/>
      <c r="D194" s="190"/>
      <c r="E194" s="15" t="s">
        <v>1972</v>
      </c>
      <c r="F194" s="5">
        <v>190</v>
      </c>
      <c r="G194" s="9" t="s">
        <v>2010</v>
      </c>
      <c r="H194" s="29" t="s">
        <v>1224</v>
      </c>
      <c r="I194" s="188">
        <v>0</v>
      </c>
      <c r="J194" s="124">
        <f>5000+5000</f>
        <v>10000</v>
      </c>
      <c r="K194" s="124"/>
      <c r="L194" s="4">
        <f t="shared" si="10"/>
        <v>10000</v>
      </c>
      <c r="M194" s="9">
        <v>0.1</v>
      </c>
      <c r="N194" s="31">
        <f t="shared" si="11"/>
        <v>1000</v>
      </c>
    </row>
    <row r="195" spans="1:14">
      <c r="A195" s="15"/>
      <c r="B195" s="15"/>
      <c r="C195" s="135"/>
      <c r="D195" s="190"/>
      <c r="E195" s="15" t="s">
        <v>1973</v>
      </c>
      <c r="F195" s="5">
        <v>191</v>
      </c>
      <c r="G195" s="9" t="s">
        <v>1946</v>
      </c>
      <c r="H195" s="29" t="s">
        <v>1224</v>
      </c>
      <c r="I195" s="188">
        <v>0</v>
      </c>
      <c r="J195" s="124"/>
      <c r="K195" s="124"/>
      <c r="L195" s="4">
        <f t="shared" si="10"/>
        <v>0</v>
      </c>
      <c r="M195" s="9"/>
      <c r="N195" s="31">
        <f t="shared" si="11"/>
        <v>0</v>
      </c>
    </row>
    <row r="196" spans="1:14">
      <c r="A196" s="15"/>
      <c r="B196" s="15"/>
      <c r="C196" s="135"/>
      <c r="D196" s="190"/>
      <c r="E196" s="15" t="s">
        <v>1974</v>
      </c>
      <c r="F196" s="5">
        <v>192</v>
      </c>
      <c r="G196" s="9" t="s">
        <v>1947</v>
      </c>
      <c r="H196" s="29" t="s">
        <v>1224</v>
      </c>
      <c r="I196" s="188">
        <v>0</v>
      </c>
      <c r="J196" s="124"/>
      <c r="K196" s="124"/>
      <c r="L196" s="4">
        <f t="shared" si="10"/>
        <v>0</v>
      </c>
      <c r="M196" s="9"/>
      <c r="N196" s="31">
        <f t="shared" si="11"/>
        <v>0</v>
      </c>
    </row>
    <row r="197" spans="1:14">
      <c r="A197" s="15"/>
      <c r="B197" s="15"/>
      <c r="C197" s="135"/>
      <c r="D197" s="190"/>
      <c r="E197" s="15" t="s">
        <v>1975</v>
      </c>
      <c r="F197" s="5">
        <v>193</v>
      </c>
      <c r="G197" s="9" t="s">
        <v>1948</v>
      </c>
      <c r="H197" s="29" t="s">
        <v>1224</v>
      </c>
      <c r="I197" s="188">
        <v>0</v>
      </c>
      <c r="J197" s="124"/>
      <c r="K197" s="124"/>
      <c r="L197" s="4">
        <f t="shared" si="10"/>
        <v>0</v>
      </c>
      <c r="M197" s="9"/>
      <c r="N197" s="31">
        <f t="shared" si="11"/>
        <v>0</v>
      </c>
    </row>
    <row r="198" spans="1:14">
      <c r="A198" s="15"/>
      <c r="B198" s="15"/>
      <c r="C198" s="135"/>
      <c r="D198" s="190"/>
      <c r="E198" s="15" t="s">
        <v>1976</v>
      </c>
      <c r="F198" s="5">
        <v>194</v>
      </c>
      <c r="G198" s="9" t="s">
        <v>1949</v>
      </c>
      <c r="H198" s="29" t="s">
        <v>1224</v>
      </c>
      <c r="I198" s="188">
        <v>0</v>
      </c>
      <c r="J198" s="124"/>
      <c r="K198" s="124"/>
      <c r="L198" s="4">
        <f t="shared" si="10"/>
        <v>0</v>
      </c>
      <c r="M198" s="9"/>
      <c r="N198" s="31">
        <f t="shared" si="11"/>
        <v>0</v>
      </c>
    </row>
    <row r="199" spans="1:14">
      <c r="A199" s="15"/>
      <c r="B199" s="15"/>
      <c r="C199" s="135"/>
      <c r="D199" s="190"/>
      <c r="E199" s="15" t="s">
        <v>1977</v>
      </c>
      <c r="F199" s="5">
        <v>195</v>
      </c>
      <c r="G199" s="9" t="s">
        <v>1950</v>
      </c>
      <c r="H199" s="29" t="s">
        <v>1224</v>
      </c>
      <c r="I199" s="188">
        <v>0</v>
      </c>
      <c r="J199" s="124"/>
      <c r="K199" s="124"/>
      <c r="L199" s="4">
        <f t="shared" si="10"/>
        <v>0</v>
      </c>
      <c r="M199" s="9"/>
      <c r="N199" s="31">
        <f t="shared" si="11"/>
        <v>0</v>
      </c>
    </row>
    <row r="200" spans="1:14">
      <c r="D200" s="190"/>
      <c r="E200" s="15" t="s">
        <v>2030</v>
      </c>
      <c r="F200" s="5">
        <v>196</v>
      </c>
      <c r="G200" s="9" t="s">
        <v>2021</v>
      </c>
      <c r="H200" s="20" t="s">
        <v>1259</v>
      </c>
      <c r="I200" s="188">
        <v>0</v>
      </c>
      <c r="J200" s="22">
        <v>5000</v>
      </c>
      <c r="K200" s="22"/>
      <c r="L200" s="124">
        <f t="shared" si="10"/>
        <v>5000</v>
      </c>
      <c r="M200" s="9">
        <v>1.95</v>
      </c>
      <c r="N200" s="191">
        <f t="shared" si="11"/>
        <v>9750</v>
      </c>
    </row>
    <row r="201" spans="1:14">
      <c r="D201" s="190"/>
      <c r="E201" s="15" t="s">
        <v>2031</v>
      </c>
      <c r="F201" s="5">
        <v>197</v>
      </c>
      <c r="G201" s="9" t="s">
        <v>2022</v>
      </c>
      <c r="H201" s="20" t="s">
        <v>1259</v>
      </c>
      <c r="I201" s="188">
        <v>0</v>
      </c>
      <c r="J201" s="22">
        <v>8000</v>
      </c>
      <c r="K201" s="22"/>
      <c r="L201" s="124">
        <v>8000</v>
      </c>
      <c r="M201" s="189">
        <v>0.5</v>
      </c>
      <c r="N201" s="191">
        <f t="shared" si="11"/>
        <v>4000</v>
      </c>
    </row>
    <row r="202" spans="1:14" ht="15.75" thickBot="1">
      <c r="D202" s="192"/>
      <c r="E202" s="17" t="s">
        <v>2032</v>
      </c>
      <c r="F202" s="8">
        <v>198</v>
      </c>
      <c r="G202" s="37" t="s">
        <v>2023</v>
      </c>
      <c r="H202" s="156" t="s">
        <v>1224</v>
      </c>
      <c r="I202" s="193">
        <v>0</v>
      </c>
      <c r="J202" s="194"/>
      <c r="K202" s="194"/>
      <c r="L202" s="194">
        <v>5000</v>
      </c>
      <c r="M202" s="37">
        <v>0.05</v>
      </c>
      <c r="N202" s="195">
        <f t="shared" si="11"/>
        <v>250</v>
      </c>
    </row>
    <row r="203" spans="1:14" ht="15.75" thickBot="1">
      <c r="D203" s="44"/>
      <c r="E203" s="44"/>
      <c r="F203" s="44"/>
      <c r="G203" s="44"/>
      <c r="H203" s="12"/>
      <c r="I203" s="12"/>
      <c r="J203" s="46"/>
      <c r="K203" s="46"/>
      <c r="L203" s="46"/>
      <c r="M203" s="199" t="s">
        <v>635</v>
      </c>
      <c r="N203" s="200">
        <f>SUM(N5:N202)</f>
        <v>117692.79</v>
      </c>
    </row>
    <row r="204" spans="1:14">
      <c r="D204" s="44"/>
      <c r="E204" s="44"/>
      <c r="F204" s="44"/>
      <c r="G204" s="44"/>
      <c r="H204" s="12"/>
      <c r="I204" s="12"/>
      <c r="J204" s="46"/>
      <c r="K204" s="46"/>
      <c r="L204" s="46"/>
    </row>
    <row r="205" spans="1:14">
      <c r="D205" s="44"/>
      <c r="E205" s="44"/>
      <c r="F205" s="44"/>
      <c r="G205" s="44"/>
      <c r="H205" s="12"/>
      <c r="I205" s="12"/>
      <c r="J205" s="46"/>
      <c r="K205" s="46"/>
      <c r="L205" s="46"/>
    </row>
    <row r="206" spans="1:14">
      <c r="D206" s="44"/>
      <c r="E206" s="44"/>
      <c r="F206" s="44"/>
      <c r="G206" s="44"/>
      <c r="H206" s="12"/>
      <c r="I206" s="12"/>
      <c r="J206" s="46"/>
      <c r="K206" s="46"/>
      <c r="L206" s="46"/>
    </row>
    <row r="207" spans="1:14">
      <c r="D207" s="44"/>
      <c r="E207" s="44"/>
      <c r="F207" s="44"/>
      <c r="G207" s="44"/>
      <c r="H207" s="12"/>
      <c r="I207" s="12"/>
      <c r="J207" s="46"/>
      <c r="K207" s="46"/>
      <c r="L207" s="46"/>
    </row>
    <row r="208" spans="1:14">
      <c r="D208" s="44"/>
      <c r="E208" s="44"/>
      <c r="F208" s="44"/>
      <c r="G208" s="44"/>
      <c r="H208" s="50"/>
      <c r="I208" s="50"/>
      <c r="J208" s="46"/>
      <c r="K208" s="46"/>
      <c r="L208" s="46"/>
    </row>
    <row r="209" spans="4:12">
      <c r="D209" s="44"/>
      <c r="E209" s="44"/>
      <c r="F209" s="44"/>
      <c r="G209" s="44"/>
      <c r="H209" s="50"/>
      <c r="I209" s="50"/>
      <c r="J209" s="46"/>
      <c r="K209" s="46"/>
      <c r="L209" s="46"/>
    </row>
    <row r="210" spans="4:12">
      <c r="D210" s="44"/>
      <c r="E210" s="44"/>
      <c r="F210" s="44"/>
      <c r="G210" s="44"/>
      <c r="H210" s="50"/>
      <c r="I210" s="50"/>
      <c r="J210" s="46"/>
      <c r="K210" s="46"/>
      <c r="L210" s="46"/>
    </row>
  </sheetData>
  <mergeCells count="1">
    <mergeCell ref="D2:N2"/>
  </mergeCells>
  <pageMargins left="0.7" right="0.7" top="0.75" bottom="0.75" header="0.3" footer="0.3"/>
  <pageSetup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2:K15"/>
  <sheetViews>
    <sheetView workbookViewId="0">
      <selection activeCell="B13" sqref="B13"/>
    </sheetView>
  </sheetViews>
  <sheetFormatPr defaultRowHeight="15"/>
  <cols>
    <col min="1" max="1" width="19.7109375" bestFit="1" customWidth="1"/>
    <col min="2" max="2" width="13.85546875" bestFit="1" customWidth="1"/>
    <col min="4" max="4" width="22.42578125" bestFit="1" customWidth="1"/>
    <col min="5" max="5" width="12.7109375" bestFit="1" customWidth="1"/>
    <col min="10" max="10" width="10.85546875" bestFit="1" customWidth="1"/>
  </cols>
  <sheetData>
    <row r="2" spans="1:11" ht="15.75" thickBot="1"/>
    <row r="3" spans="1:11" ht="16.5" thickBot="1">
      <c r="A3" s="318" t="s">
        <v>600</v>
      </c>
      <c r="B3" s="319"/>
      <c r="C3" s="319"/>
      <c r="D3" s="319"/>
      <c r="E3" s="319"/>
      <c r="F3" s="319"/>
      <c r="G3" s="319"/>
      <c r="H3" s="319"/>
      <c r="I3" s="319"/>
      <c r="J3" s="319"/>
      <c r="K3" s="320"/>
    </row>
    <row r="5" spans="1:11">
      <c r="A5" s="94" t="s">
        <v>349</v>
      </c>
      <c r="B5" s="94" t="s">
        <v>150</v>
      </c>
      <c r="C5" s="89" t="s">
        <v>0</v>
      </c>
      <c r="D5" s="89" t="s">
        <v>1</v>
      </c>
      <c r="E5" s="89" t="s">
        <v>2</v>
      </c>
      <c r="F5" s="89" t="s">
        <v>3</v>
      </c>
      <c r="G5" s="89" t="s">
        <v>1298</v>
      </c>
      <c r="H5" s="89" t="s">
        <v>1297</v>
      </c>
      <c r="I5" s="89" t="s">
        <v>1296</v>
      </c>
      <c r="J5" s="88" t="s">
        <v>131</v>
      </c>
      <c r="K5" s="89" t="s">
        <v>136</v>
      </c>
    </row>
    <row r="6" spans="1:11">
      <c r="A6" s="15" t="s">
        <v>406</v>
      </c>
      <c r="B6" s="15" t="s">
        <v>336</v>
      </c>
      <c r="C6" s="5">
        <v>1</v>
      </c>
      <c r="D6" s="114" t="s">
        <v>148</v>
      </c>
      <c r="E6" s="9" t="s">
        <v>147</v>
      </c>
      <c r="F6" s="4">
        <v>0</v>
      </c>
      <c r="G6" s="4"/>
      <c r="H6" s="4"/>
      <c r="I6" s="4">
        <f>F6+G6-H6</f>
        <v>0</v>
      </c>
      <c r="J6" s="20">
        <v>10</v>
      </c>
      <c r="K6" s="22">
        <f>I6*J6</f>
        <v>0</v>
      </c>
    </row>
    <row r="7" spans="1:11">
      <c r="A7" s="15" t="s">
        <v>407</v>
      </c>
      <c r="B7" s="15" t="s">
        <v>337</v>
      </c>
      <c r="C7" s="5">
        <v>2</v>
      </c>
      <c r="D7" s="7" t="s">
        <v>548</v>
      </c>
      <c r="E7" s="5" t="s">
        <v>34</v>
      </c>
      <c r="F7" s="4">
        <v>0</v>
      </c>
      <c r="G7" s="4"/>
      <c r="H7" s="4"/>
      <c r="I7" s="4">
        <f t="shared" ref="I7:I12" si="0">F7+G7-H7</f>
        <v>0</v>
      </c>
      <c r="J7" s="20">
        <v>1.5</v>
      </c>
      <c r="K7" s="22">
        <f t="shared" ref="K7:K12" si="1">I7*J7</f>
        <v>0</v>
      </c>
    </row>
    <row r="8" spans="1:11">
      <c r="A8" s="15" t="s">
        <v>408</v>
      </c>
      <c r="B8" s="15" t="s">
        <v>338</v>
      </c>
      <c r="C8" s="5">
        <v>3</v>
      </c>
      <c r="D8" s="7" t="s">
        <v>549</v>
      </c>
      <c r="E8" s="5" t="s">
        <v>34</v>
      </c>
      <c r="F8" s="4">
        <v>0</v>
      </c>
      <c r="G8" s="4"/>
      <c r="H8" s="4"/>
      <c r="I8" s="4">
        <f t="shared" si="0"/>
        <v>0</v>
      </c>
      <c r="J8" s="20">
        <v>1.5</v>
      </c>
      <c r="K8" s="22">
        <f t="shared" si="1"/>
        <v>0</v>
      </c>
    </row>
    <row r="9" spans="1:11">
      <c r="A9" s="15" t="s">
        <v>546</v>
      </c>
      <c r="B9" s="15" t="s">
        <v>547</v>
      </c>
      <c r="C9" s="5">
        <v>4</v>
      </c>
      <c r="D9" s="114" t="s">
        <v>149</v>
      </c>
      <c r="E9" s="5" t="s">
        <v>34</v>
      </c>
      <c r="F9" s="4">
        <v>0</v>
      </c>
      <c r="G9" s="4"/>
      <c r="H9" s="4"/>
      <c r="I9" s="4">
        <f t="shared" si="0"/>
        <v>0</v>
      </c>
      <c r="J9" s="20">
        <v>10</v>
      </c>
      <c r="K9" s="22">
        <f t="shared" si="1"/>
        <v>0</v>
      </c>
    </row>
    <row r="10" spans="1:11">
      <c r="A10" s="15"/>
      <c r="B10" s="15" t="s">
        <v>1131</v>
      </c>
      <c r="C10" s="5">
        <v>5</v>
      </c>
      <c r="D10" s="114" t="s">
        <v>1397</v>
      </c>
      <c r="E10" s="9" t="s">
        <v>1287</v>
      </c>
      <c r="F10" s="4">
        <v>0</v>
      </c>
      <c r="G10" s="4">
        <f>2000+1000+4000</f>
        <v>7000</v>
      </c>
      <c r="H10" s="4"/>
      <c r="I10" s="4">
        <f t="shared" si="0"/>
        <v>7000</v>
      </c>
      <c r="J10" s="20">
        <v>2.5</v>
      </c>
      <c r="K10" s="22">
        <f t="shared" si="1"/>
        <v>17500</v>
      </c>
    </row>
    <row r="11" spans="1:11">
      <c r="A11" s="15"/>
      <c r="B11" s="15" t="s">
        <v>1132</v>
      </c>
      <c r="C11" s="5">
        <v>6</v>
      </c>
      <c r="D11" s="114" t="s">
        <v>1396</v>
      </c>
      <c r="E11" s="9" t="s">
        <v>1287</v>
      </c>
      <c r="F11" s="4">
        <v>0</v>
      </c>
      <c r="G11" s="4">
        <f>2400+1200+3800</f>
        <v>7400</v>
      </c>
      <c r="H11" s="4"/>
      <c r="I11" s="4">
        <f t="shared" si="0"/>
        <v>7400</v>
      </c>
      <c r="J11" s="20">
        <v>3.75</v>
      </c>
      <c r="K11" s="22">
        <f t="shared" si="1"/>
        <v>27750</v>
      </c>
    </row>
    <row r="12" spans="1:11">
      <c r="A12" s="15"/>
      <c r="B12" s="15" t="s">
        <v>1138</v>
      </c>
      <c r="C12" s="5">
        <v>7</v>
      </c>
      <c r="D12" s="96" t="s">
        <v>1137</v>
      </c>
      <c r="E12" s="9" t="s">
        <v>1139</v>
      </c>
      <c r="F12" s="4">
        <v>0</v>
      </c>
      <c r="G12" s="4">
        <v>4800</v>
      </c>
      <c r="H12" s="4"/>
      <c r="I12" s="4">
        <f t="shared" si="0"/>
        <v>4800</v>
      </c>
      <c r="J12" s="20">
        <v>2.5</v>
      </c>
      <c r="K12" s="22">
        <f t="shared" si="1"/>
        <v>12000</v>
      </c>
    </row>
    <row r="13" spans="1:11">
      <c r="A13" s="15"/>
      <c r="B13" s="15" t="s">
        <v>2033</v>
      </c>
      <c r="C13" s="5">
        <v>8</v>
      </c>
      <c r="D13" s="96" t="s">
        <v>2005</v>
      </c>
      <c r="E13" s="9" t="s">
        <v>1139</v>
      </c>
      <c r="F13" s="4">
        <v>0</v>
      </c>
      <c r="G13" s="4">
        <f>4000+400</f>
        <v>4400</v>
      </c>
      <c r="H13" s="4"/>
      <c r="I13" s="4">
        <f t="shared" ref="I13" si="2">F13+G13-H13</f>
        <v>4400</v>
      </c>
      <c r="J13" s="20">
        <v>2.5</v>
      </c>
      <c r="K13" s="22">
        <f t="shared" ref="K13" si="3">I13*J13</f>
        <v>11000</v>
      </c>
    </row>
    <row r="14" spans="1:11">
      <c r="A14" s="14"/>
      <c r="B14" s="14"/>
      <c r="C14" s="44"/>
      <c r="D14" s="186"/>
      <c r="E14" s="13"/>
      <c r="F14" s="45"/>
      <c r="G14" s="45"/>
      <c r="H14" s="45"/>
      <c r="I14" s="45"/>
      <c r="J14" s="11"/>
      <c r="K14" s="187"/>
    </row>
    <row r="15" spans="1:11" ht="15.75" thickBot="1">
      <c r="J15" s="99" t="s">
        <v>146</v>
      </c>
      <c r="K15" s="113">
        <f>SUM(K6:K12)</f>
        <v>57250</v>
      </c>
    </row>
  </sheetData>
  <mergeCells count="1">
    <mergeCell ref="A3:K3"/>
  </mergeCells>
  <pageMargins left="0.7" right="0.7" top="0.75" bottom="0.75" header="0.3" footer="0.3"/>
  <pageSetup scale="9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K143"/>
  <sheetViews>
    <sheetView tabSelected="1" topLeftCell="B1" workbookViewId="0">
      <selection activeCell="K13" sqref="K13"/>
    </sheetView>
  </sheetViews>
  <sheetFormatPr defaultRowHeight="15"/>
  <cols>
    <col min="1" max="1" width="35.42578125" style="87" bestFit="1" customWidth="1"/>
    <col min="2" max="2" width="13.85546875" bestFit="1" customWidth="1"/>
    <col min="4" max="4" width="55.5703125" customWidth="1"/>
    <col min="5" max="5" width="30.5703125" customWidth="1"/>
    <col min="10" max="10" width="15.5703125" bestFit="1" customWidth="1"/>
    <col min="11" max="11" width="11.5703125" bestFit="1" customWidth="1"/>
  </cols>
  <sheetData>
    <row r="1" spans="1:11" ht="15.75" thickBot="1"/>
    <row r="2" spans="1:11" ht="15.75" thickBot="1">
      <c r="A2" s="321" t="s">
        <v>604</v>
      </c>
      <c r="B2" s="322"/>
      <c r="C2" s="322"/>
      <c r="D2" s="322"/>
      <c r="E2" s="322"/>
      <c r="F2" s="322"/>
      <c r="G2" s="322"/>
      <c r="H2" s="322"/>
      <c r="I2" s="322"/>
      <c r="J2" s="322"/>
      <c r="K2" s="323"/>
    </row>
    <row r="3" spans="1:11" ht="15.75" thickBot="1"/>
    <row r="4" spans="1:11">
      <c r="A4" s="313" t="s">
        <v>349</v>
      </c>
      <c r="B4" s="40" t="s">
        <v>150</v>
      </c>
      <c r="C4" s="33" t="s">
        <v>0</v>
      </c>
      <c r="D4" s="33" t="s">
        <v>1</v>
      </c>
      <c r="E4" s="33" t="s">
        <v>2</v>
      </c>
      <c r="F4" s="33" t="s">
        <v>3</v>
      </c>
      <c r="G4" s="33" t="s">
        <v>1298</v>
      </c>
      <c r="H4" s="33" t="s">
        <v>1297</v>
      </c>
      <c r="I4" s="33" t="s">
        <v>1296</v>
      </c>
      <c r="J4" s="34" t="s">
        <v>131</v>
      </c>
      <c r="K4" s="35" t="s">
        <v>136</v>
      </c>
    </row>
    <row r="5" spans="1:11">
      <c r="A5" s="314" t="s">
        <v>374</v>
      </c>
      <c r="B5" s="81" t="s">
        <v>262</v>
      </c>
      <c r="C5" s="6">
        <v>1</v>
      </c>
      <c r="D5" s="10" t="s">
        <v>30</v>
      </c>
      <c r="E5" s="6" t="s">
        <v>31</v>
      </c>
      <c r="F5" s="6"/>
      <c r="G5" s="6"/>
      <c r="H5" s="6"/>
      <c r="I5" s="6">
        <f>F5+G5-H5</f>
        <v>0</v>
      </c>
      <c r="J5" s="21">
        <v>2.5</v>
      </c>
      <c r="K5" s="100">
        <f>I5*J5</f>
        <v>0</v>
      </c>
    </row>
    <row r="6" spans="1:11">
      <c r="A6" s="314" t="s">
        <v>375</v>
      </c>
      <c r="B6" s="81" t="s">
        <v>263</v>
      </c>
      <c r="C6" s="6">
        <v>2</v>
      </c>
      <c r="D6" s="10" t="s">
        <v>1158</v>
      </c>
      <c r="E6" s="6" t="s">
        <v>31</v>
      </c>
      <c r="F6" s="6">
        <v>41</v>
      </c>
      <c r="G6" s="6"/>
      <c r="H6" s="6"/>
      <c r="I6" s="6">
        <f t="shared" ref="I6:I95" si="0">F6+G6-H6</f>
        <v>41</v>
      </c>
      <c r="J6" s="21">
        <v>1</v>
      </c>
      <c r="K6" s="100">
        <f t="shared" ref="K6:K95" si="1">I6*J6</f>
        <v>41</v>
      </c>
    </row>
    <row r="7" spans="1:11">
      <c r="A7" s="314" t="s">
        <v>376</v>
      </c>
      <c r="B7" s="81" t="s">
        <v>264</v>
      </c>
      <c r="C7" s="6">
        <v>3</v>
      </c>
      <c r="D7" s="10" t="s">
        <v>1159</v>
      </c>
      <c r="E7" s="6" t="s">
        <v>31</v>
      </c>
      <c r="F7" s="6">
        <v>85</v>
      </c>
      <c r="G7" s="6"/>
      <c r="H7" s="6"/>
      <c r="I7" s="6">
        <f t="shared" si="0"/>
        <v>85</v>
      </c>
      <c r="J7" s="21">
        <v>1</v>
      </c>
      <c r="K7" s="100">
        <f t="shared" si="1"/>
        <v>85</v>
      </c>
    </row>
    <row r="8" spans="1:11">
      <c r="A8" s="314" t="s">
        <v>377</v>
      </c>
      <c r="B8" s="81" t="s">
        <v>265</v>
      </c>
      <c r="C8" s="6">
        <v>4</v>
      </c>
      <c r="D8" s="10" t="s">
        <v>1376</v>
      </c>
      <c r="E8" s="6" t="s">
        <v>31</v>
      </c>
      <c r="F8" s="6">
        <v>0</v>
      </c>
      <c r="G8" s="6">
        <f>1000+5000</f>
        <v>6000</v>
      </c>
      <c r="H8" s="6">
        <v>1000</v>
      </c>
      <c r="I8" s="6">
        <f t="shared" si="0"/>
        <v>5000</v>
      </c>
      <c r="J8" s="21">
        <v>0.8</v>
      </c>
      <c r="K8" s="100">
        <f t="shared" si="1"/>
        <v>4000</v>
      </c>
    </row>
    <row r="9" spans="1:11">
      <c r="A9" s="314" t="s">
        <v>378</v>
      </c>
      <c r="B9" s="81" t="s">
        <v>266</v>
      </c>
      <c r="C9" s="6">
        <v>5</v>
      </c>
      <c r="D9" s="6" t="s">
        <v>32</v>
      </c>
      <c r="E9" s="6" t="s">
        <v>31</v>
      </c>
      <c r="F9" s="6"/>
      <c r="G9" s="6"/>
      <c r="H9" s="6"/>
      <c r="I9" s="6">
        <f t="shared" si="0"/>
        <v>0</v>
      </c>
      <c r="J9" s="21">
        <v>1</v>
      </c>
      <c r="K9" s="100">
        <f t="shared" si="1"/>
        <v>0</v>
      </c>
    </row>
    <row r="10" spans="1:11">
      <c r="A10" s="314" t="s">
        <v>379</v>
      </c>
      <c r="B10" s="81" t="s">
        <v>267</v>
      </c>
      <c r="C10" s="6">
        <v>6</v>
      </c>
      <c r="D10" s="10" t="s">
        <v>1160</v>
      </c>
      <c r="E10" s="6" t="s">
        <v>33</v>
      </c>
      <c r="F10" s="6">
        <v>125</v>
      </c>
      <c r="G10" s="6"/>
      <c r="H10" s="6"/>
      <c r="I10" s="6">
        <f t="shared" si="0"/>
        <v>125</v>
      </c>
      <c r="J10" s="21">
        <v>2</v>
      </c>
      <c r="K10" s="100">
        <f t="shared" si="1"/>
        <v>250</v>
      </c>
    </row>
    <row r="11" spans="1:11">
      <c r="A11" s="314" t="s">
        <v>380</v>
      </c>
      <c r="B11" s="81" t="s">
        <v>268</v>
      </c>
      <c r="C11" s="6">
        <v>7</v>
      </c>
      <c r="D11" s="10" t="s">
        <v>1161</v>
      </c>
      <c r="E11" s="6" t="s">
        <v>40</v>
      </c>
      <c r="F11" s="6">
        <f>11600+202+161</f>
        <v>11963</v>
      </c>
      <c r="G11" s="6">
        <f>6000+40000+6000+4000</f>
        <v>56000</v>
      </c>
      <c r="H11" s="6">
        <f>30+702+1404+3000+15</f>
        <v>5151</v>
      </c>
      <c r="I11" s="6">
        <f t="shared" si="0"/>
        <v>62812</v>
      </c>
      <c r="J11" s="21">
        <v>0.6</v>
      </c>
      <c r="K11" s="100">
        <f t="shared" si="1"/>
        <v>37687.199999999997</v>
      </c>
    </row>
    <row r="12" spans="1:11">
      <c r="A12" s="314" t="s">
        <v>381</v>
      </c>
      <c r="B12" s="81" t="s">
        <v>269</v>
      </c>
      <c r="C12" s="6">
        <v>8</v>
      </c>
      <c r="D12" s="10" t="s">
        <v>1176</v>
      </c>
      <c r="E12" s="6" t="s">
        <v>40</v>
      </c>
      <c r="F12" s="6">
        <v>100</v>
      </c>
      <c r="G12" s="6"/>
      <c r="H12" s="6"/>
      <c r="I12" s="6">
        <f t="shared" si="0"/>
        <v>100</v>
      </c>
      <c r="J12" s="21">
        <v>1</v>
      </c>
      <c r="K12" s="100">
        <f t="shared" si="1"/>
        <v>100</v>
      </c>
    </row>
    <row r="13" spans="1:11">
      <c r="A13" s="314" t="s">
        <v>382</v>
      </c>
      <c r="B13" s="81" t="s">
        <v>270</v>
      </c>
      <c r="C13" s="6">
        <v>9</v>
      </c>
      <c r="D13" s="10" t="s">
        <v>1162</v>
      </c>
      <c r="E13" s="6" t="s">
        <v>40</v>
      </c>
      <c r="F13" s="6">
        <f>683+90+18+52</f>
        <v>843</v>
      </c>
      <c r="G13" s="6"/>
      <c r="H13" s="6"/>
      <c r="I13" s="6">
        <f t="shared" si="0"/>
        <v>843</v>
      </c>
      <c r="J13" s="21">
        <v>1</v>
      </c>
      <c r="K13" s="100">
        <f t="shared" si="1"/>
        <v>843</v>
      </c>
    </row>
    <row r="14" spans="1:11">
      <c r="A14" s="314" t="s">
        <v>383</v>
      </c>
      <c r="B14" s="81" t="s">
        <v>2251</v>
      </c>
      <c r="C14" s="6">
        <v>11</v>
      </c>
      <c r="D14" s="10" t="s">
        <v>1163</v>
      </c>
      <c r="E14" s="6" t="s">
        <v>42</v>
      </c>
      <c r="F14" s="6">
        <v>182</v>
      </c>
      <c r="G14" s="6"/>
      <c r="H14" s="6"/>
      <c r="I14" s="6">
        <f t="shared" si="0"/>
        <v>182</v>
      </c>
      <c r="J14" s="21">
        <v>3.15</v>
      </c>
      <c r="K14" s="100">
        <f t="shared" si="1"/>
        <v>573.29999999999995</v>
      </c>
    </row>
    <row r="15" spans="1:11">
      <c r="A15" s="314" t="s">
        <v>384</v>
      </c>
      <c r="B15" s="81" t="s">
        <v>271</v>
      </c>
      <c r="C15" s="6">
        <v>12</v>
      </c>
      <c r="D15" s="10" t="s">
        <v>1164</v>
      </c>
      <c r="E15" s="6" t="s">
        <v>42</v>
      </c>
      <c r="F15" s="6">
        <v>75</v>
      </c>
      <c r="G15" s="6"/>
      <c r="H15" s="6"/>
      <c r="I15" s="6">
        <f t="shared" si="0"/>
        <v>75</v>
      </c>
      <c r="J15" s="21">
        <v>3.15</v>
      </c>
      <c r="K15" s="100">
        <f t="shared" si="1"/>
        <v>236.25</v>
      </c>
    </row>
    <row r="16" spans="1:11">
      <c r="A16" s="314" t="s">
        <v>385</v>
      </c>
      <c r="B16" s="81" t="s">
        <v>272</v>
      </c>
      <c r="C16" s="6">
        <v>13</v>
      </c>
      <c r="D16" s="10" t="s">
        <v>1165</v>
      </c>
      <c r="E16" s="6" t="s">
        <v>42</v>
      </c>
      <c r="F16" s="6">
        <v>18</v>
      </c>
      <c r="G16" s="6"/>
      <c r="H16" s="6"/>
      <c r="I16" s="6">
        <f t="shared" si="0"/>
        <v>18</v>
      </c>
      <c r="J16" s="21">
        <v>3</v>
      </c>
      <c r="K16" s="100">
        <f t="shared" si="1"/>
        <v>54</v>
      </c>
    </row>
    <row r="17" spans="1:11">
      <c r="A17" s="314" t="s">
        <v>386</v>
      </c>
      <c r="B17" s="81" t="s">
        <v>273</v>
      </c>
      <c r="C17" s="6">
        <v>14</v>
      </c>
      <c r="D17" s="10" t="s">
        <v>1166</v>
      </c>
      <c r="E17" s="6" t="s">
        <v>42</v>
      </c>
      <c r="F17" s="6">
        <f>260+886+6</f>
        <v>1152</v>
      </c>
      <c r="G17" s="6">
        <f>2000+400+5000+16000</f>
        <v>23400</v>
      </c>
      <c r="H17" s="6">
        <f>1+400+1+1+2000+15</f>
        <v>2418</v>
      </c>
      <c r="I17" s="6">
        <f t="shared" si="0"/>
        <v>22134</v>
      </c>
      <c r="J17" s="21">
        <v>0.55000000000000004</v>
      </c>
      <c r="K17" s="100">
        <f t="shared" si="1"/>
        <v>12173.7</v>
      </c>
    </row>
    <row r="18" spans="1:11">
      <c r="A18" s="314" t="s">
        <v>387</v>
      </c>
      <c r="B18" s="81" t="s">
        <v>274</v>
      </c>
      <c r="C18" s="6">
        <v>15</v>
      </c>
      <c r="D18" s="10" t="s">
        <v>1167</v>
      </c>
      <c r="E18" s="6" t="s">
        <v>42</v>
      </c>
      <c r="F18" s="6">
        <v>485</v>
      </c>
      <c r="G18" s="6">
        <v>5000</v>
      </c>
      <c r="H18" s="6"/>
      <c r="I18" s="6">
        <f t="shared" si="0"/>
        <v>5485</v>
      </c>
      <c r="J18" s="21">
        <v>0.78</v>
      </c>
      <c r="K18" s="100">
        <f t="shared" si="1"/>
        <v>4278.3</v>
      </c>
    </row>
    <row r="19" spans="1:11">
      <c r="A19" s="314" t="s">
        <v>388</v>
      </c>
      <c r="B19" s="81" t="s">
        <v>275</v>
      </c>
      <c r="C19" s="6">
        <v>16</v>
      </c>
      <c r="D19" s="10" t="s">
        <v>1207</v>
      </c>
      <c r="E19" s="6" t="s">
        <v>42</v>
      </c>
      <c r="F19" s="6">
        <v>5</v>
      </c>
      <c r="G19" s="6"/>
      <c r="H19" s="6"/>
      <c r="I19" s="6">
        <f t="shared" si="0"/>
        <v>5</v>
      </c>
      <c r="J19" s="21">
        <v>3</v>
      </c>
      <c r="K19" s="100">
        <f t="shared" si="1"/>
        <v>15</v>
      </c>
    </row>
    <row r="20" spans="1:11">
      <c r="A20" s="314" t="s">
        <v>389</v>
      </c>
      <c r="B20" s="81" t="s">
        <v>288</v>
      </c>
      <c r="C20" s="6">
        <v>17</v>
      </c>
      <c r="D20" s="10" t="s">
        <v>1168</v>
      </c>
      <c r="E20" s="6" t="s">
        <v>42</v>
      </c>
      <c r="F20" s="6">
        <v>35</v>
      </c>
      <c r="G20" s="6"/>
      <c r="H20" s="6"/>
      <c r="I20" s="6">
        <f t="shared" si="0"/>
        <v>35</v>
      </c>
      <c r="J20" s="21">
        <v>3</v>
      </c>
      <c r="K20" s="100">
        <f t="shared" si="1"/>
        <v>105</v>
      </c>
    </row>
    <row r="21" spans="1:11">
      <c r="A21" s="314" t="s">
        <v>390</v>
      </c>
      <c r="B21" s="81" t="s">
        <v>289</v>
      </c>
      <c r="C21" s="6">
        <v>18</v>
      </c>
      <c r="D21" s="10" t="s">
        <v>1210</v>
      </c>
      <c r="E21" s="6" t="s">
        <v>42</v>
      </c>
      <c r="F21" s="6"/>
      <c r="G21" s="6"/>
      <c r="H21" s="6"/>
      <c r="I21" s="6">
        <f t="shared" si="0"/>
        <v>0</v>
      </c>
      <c r="J21" s="21">
        <v>3</v>
      </c>
      <c r="K21" s="100">
        <f t="shared" si="1"/>
        <v>0</v>
      </c>
    </row>
    <row r="22" spans="1:11">
      <c r="A22" s="314" t="s">
        <v>391</v>
      </c>
      <c r="B22" s="81" t="s">
        <v>290</v>
      </c>
      <c r="C22" s="6">
        <v>19</v>
      </c>
      <c r="D22" s="10" t="s">
        <v>1211</v>
      </c>
      <c r="E22" s="6" t="s">
        <v>42</v>
      </c>
      <c r="F22" s="6"/>
      <c r="G22" s="6"/>
      <c r="H22" s="6"/>
      <c r="I22" s="6">
        <f t="shared" si="0"/>
        <v>0</v>
      </c>
      <c r="J22" s="21">
        <v>3</v>
      </c>
      <c r="K22" s="100">
        <f t="shared" si="1"/>
        <v>0</v>
      </c>
    </row>
    <row r="23" spans="1:11">
      <c r="A23" s="314" t="s">
        <v>392</v>
      </c>
      <c r="B23" s="81" t="s">
        <v>291</v>
      </c>
      <c r="C23" s="6">
        <v>20</v>
      </c>
      <c r="D23" s="10" t="s">
        <v>1212</v>
      </c>
      <c r="E23" s="6" t="s">
        <v>42</v>
      </c>
      <c r="F23" s="6"/>
      <c r="G23" s="6"/>
      <c r="H23" s="6"/>
      <c r="I23" s="6">
        <f t="shared" si="0"/>
        <v>0</v>
      </c>
      <c r="J23" s="21">
        <v>4</v>
      </c>
      <c r="K23" s="100">
        <f t="shared" si="1"/>
        <v>0</v>
      </c>
    </row>
    <row r="24" spans="1:11">
      <c r="A24" s="314" t="s">
        <v>393</v>
      </c>
      <c r="B24" s="81" t="s">
        <v>292</v>
      </c>
      <c r="C24" s="6">
        <v>21</v>
      </c>
      <c r="D24" s="10" t="s">
        <v>2012</v>
      </c>
      <c r="E24" s="6" t="s">
        <v>42</v>
      </c>
      <c r="F24" s="6">
        <v>0</v>
      </c>
      <c r="G24" s="6">
        <f>16000+70</f>
        <v>16070</v>
      </c>
      <c r="H24" s="6"/>
      <c r="I24" s="6">
        <f t="shared" si="0"/>
        <v>16070</v>
      </c>
      <c r="J24" s="21">
        <v>0.78</v>
      </c>
      <c r="K24" s="100">
        <f t="shared" si="1"/>
        <v>12534.6</v>
      </c>
    </row>
    <row r="25" spans="1:11">
      <c r="A25" s="314" t="s">
        <v>905</v>
      </c>
      <c r="B25" s="81" t="s">
        <v>293</v>
      </c>
      <c r="C25" s="6">
        <v>22</v>
      </c>
      <c r="D25" s="125" t="s">
        <v>1169</v>
      </c>
      <c r="E25" s="6" t="s">
        <v>42</v>
      </c>
      <c r="F25" s="6">
        <v>49</v>
      </c>
      <c r="G25" s="6">
        <v>10000</v>
      </c>
      <c r="H25" s="6"/>
      <c r="I25" s="6">
        <f t="shared" si="0"/>
        <v>10049</v>
      </c>
      <c r="J25" s="21">
        <v>3.6</v>
      </c>
      <c r="K25" s="100">
        <f t="shared" si="1"/>
        <v>36176.400000000001</v>
      </c>
    </row>
    <row r="26" spans="1:11">
      <c r="A26" s="314" t="s">
        <v>932</v>
      </c>
      <c r="B26" s="81" t="s">
        <v>906</v>
      </c>
      <c r="C26" s="6">
        <v>23</v>
      </c>
      <c r="D26" s="183" t="s">
        <v>925</v>
      </c>
      <c r="E26" s="6" t="s">
        <v>42</v>
      </c>
      <c r="F26" s="6"/>
      <c r="G26" s="6"/>
      <c r="H26" s="6"/>
      <c r="I26" s="6">
        <f t="shared" si="0"/>
        <v>0</v>
      </c>
      <c r="J26" s="21">
        <v>2</v>
      </c>
      <c r="K26" s="100">
        <f t="shared" si="1"/>
        <v>0</v>
      </c>
    </row>
    <row r="27" spans="1:11">
      <c r="A27" s="314" t="s">
        <v>931</v>
      </c>
      <c r="B27" s="81" t="s">
        <v>907</v>
      </c>
      <c r="C27" s="6">
        <v>24</v>
      </c>
      <c r="D27" s="183" t="s">
        <v>1387</v>
      </c>
      <c r="E27" s="10" t="s">
        <v>933</v>
      </c>
      <c r="F27" s="6">
        <v>0</v>
      </c>
      <c r="G27" s="6">
        <v>5000</v>
      </c>
      <c r="H27" s="6"/>
      <c r="I27" s="6">
        <f t="shared" si="0"/>
        <v>5000</v>
      </c>
      <c r="J27" s="21">
        <v>1.3</v>
      </c>
      <c r="K27" s="100">
        <f t="shared" si="1"/>
        <v>6500</v>
      </c>
    </row>
    <row r="28" spans="1:11">
      <c r="A28" s="314" t="s">
        <v>934</v>
      </c>
      <c r="B28" s="81" t="s">
        <v>926</v>
      </c>
      <c r="C28" s="6">
        <v>25</v>
      </c>
      <c r="D28" s="183" t="s">
        <v>1391</v>
      </c>
      <c r="E28" s="6" t="s">
        <v>42</v>
      </c>
      <c r="F28" s="6">
        <v>0</v>
      </c>
      <c r="G28" s="6">
        <v>2500</v>
      </c>
      <c r="H28" s="6"/>
      <c r="I28" s="6">
        <f t="shared" si="0"/>
        <v>2500</v>
      </c>
      <c r="J28" s="21">
        <v>4.9000000000000004</v>
      </c>
      <c r="K28" s="100">
        <f t="shared" si="1"/>
        <v>12250</v>
      </c>
    </row>
    <row r="29" spans="1:11">
      <c r="A29" s="314" t="s">
        <v>936</v>
      </c>
      <c r="B29" s="81" t="s">
        <v>927</v>
      </c>
      <c r="C29" s="6">
        <v>26</v>
      </c>
      <c r="D29" s="183" t="s">
        <v>1170</v>
      </c>
      <c r="E29" s="10" t="s">
        <v>935</v>
      </c>
      <c r="F29" s="6">
        <v>11</v>
      </c>
      <c r="G29" s="6">
        <v>5000</v>
      </c>
      <c r="H29" s="6">
        <v>11</v>
      </c>
      <c r="I29" s="6">
        <f t="shared" si="0"/>
        <v>5000</v>
      </c>
      <c r="J29" s="21">
        <v>2.1</v>
      </c>
      <c r="K29" s="100">
        <f t="shared" si="1"/>
        <v>10500</v>
      </c>
    </row>
    <row r="30" spans="1:11">
      <c r="A30" s="314" t="s">
        <v>937</v>
      </c>
      <c r="B30" s="81" t="s">
        <v>928</v>
      </c>
      <c r="C30" s="6">
        <v>27</v>
      </c>
      <c r="D30" s="183" t="s">
        <v>1366</v>
      </c>
      <c r="E30" s="10" t="s">
        <v>40</v>
      </c>
      <c r="F30" s="6">
        <v>68</v>
      </c>
      <c r="G30" s="6">
        <f>400+2000+5000+6000+15000</f>
        <v>28400</v>
      </c>
      <c r="H30" s="6">
        <f>10+400+2000</f>
        <v>2410</v>
      </c>
      <c r="I30" s="6">
        <f t="shared" si="0"/>
        <v>26058</v>
      </c>
      <c r="J30" s="21">
        <v>2.5</v>
      </c>
      <c r="K30" s="100">
        <f t="shared" si="1"/>
        <v>65145</v>
      </c>
    </row>
    <row r="31" spans="1:11">
      <c r="A31" s="270"/>
      <c r="B31" s="81" t="s">
        <v>929</v>
      </c>
      <c r="C31" s="6">
        <v>28</v>
      </c>
      <c r="D31" s="183" t="s">
        <v>1171</v>
      </c>
      <c r="E31" s="10" t="s">
        <v>1128</v>
      </c>
      <c r="F31" s="6">
        <v>382</v>
      </c>
      <c r="G31" s="6">
        <f>2000+5000</f>
        <v>7000</v>
      </c>
      <c r="H31" s="6">
        <f>10+372+2000</f>
        <v>2382</v>
      </c>
      <c r="I31" s="6">
        <f t="shared" si="0"/>
        <v>5000</v>
      </c>
      <c r="J31" s="21">
        <v>1.6</v>
      </c>
      <c r="K31" s="100">
        <f t="shared" si="1"/>
        <v>8000</v>
      </c>
    </row>
    <row r="32" spans="1:11" s="80" customFormat="1">
      <c r="A32" s="270"/>
      <c r="B32" s="81" t="s">
        <v>930</v>
      </c>
      <c r="C32" s="6">
        <v>29</v>
      </c>
      <c r="D32" s="183" t="s">
        <v>1130</v>
      </c>
      <c r="E32" s="10" t="s">
        <v>935</v>
      </c>
      <c r="F32" s="6"/>
      <c r="G32" s="6">
        <f>400+2000</f>
        <v>2400</v>
      </c>
      <c r="H32" s="6">
        <f>400+2000</f>
        <v>2400</v>
      </c>
      <c r="I32" s="6">
        <f t="shared" si="0"/>
        <v>0</v>
      </c>
      <c r="J32" s="21">
        <v>2.25</v>
      </c>
      <c r="K32" s="100">
        <f t="shared" si="1"/>
        <v>0</v>
      </c>
    </row>
    <row r="33" spans="1:11" s="291" customFormat="1">
      <c r="A33" s="306"/>
      <c r="B33" s="81" t="s">
        <v>1359</v>
      </c>
      <c r="C33" s="6">
        <v>30</v>
      </c>
      <c r="D33" s="159" t="s">
        <v>2219</v>
      </c>
      <c r="E33" s="160"/>
      <c r="F33" s="160">
        <v>0</v>
      </c>
      <c r="G33" s="160">
        <v>0</v>
      </c>
      <c r="H33" s="160">
        <v>0</v>
      </c>
      <c r="I33" s="160">
        <v>0</v>
      </c>
      <c r="J33" s="307">
        <v>0</v>
      </c>
      <c r="K33" s="308">
        <v>0</v>
      </c>
    </row>
    <row r="34" spans="1:11" s="291" customFormat="1">
      <c r="A34" s="306"/>
      <c r="B34" s="81" t="s">
        <v>1401</v>
      </c>
      <c r="C34" s="159">
        <v>31</v>
      </c>
      <c r="D34" s="6" t="s">
        <v>2220</v>
      </c>
      <c r="E34" s="160"/>
      <c r="F34" s="160">
        <v>0</v>
      </c>
      <c r="G34" s="160">
        <v>0</v>
      </c>
      <c r="H34" s="160">
        <v>0</v>
      </c>
      <c r="I34" s="160">
        <v>0</v>
      </c>
      <c r="J34" s="307">
        <v>0</v>
      </c>
      <c r="K34" s="308">
        <v>0</v>
      </c>
    </row>
    <row r="35" spans="1:11" s="291" customFormat="1">
      <c r="A35" s="306"/>
      <c r="B35" s="81" t="s">
        <v>1402</v>
      </c>
      <c r="C35" s="6">
        <v>32</v>
      </c>
      <c r="D35" s="6" t="s">
        <v>2221</v>
      </c>
      <c r="E35" s="160"/>
      <c r="F35" s="160">
        <v>0</v>
      </c>
      <c r="G35" s="160">
        <v>0</v>
      </c>
      <c r="H35" s="160">
        <v>0</v>
      </c>
      <c r="I35" s="160">
        <v>0</v>
      </c>
      <c r="J35" s="307">
        <v>0</v>
      </c>
      <c r="K35" s="308">
        <v>0</v>
      </c>
    </row>
    <row r="36" spans="1:11">
      <c r="A36" s="305"/>
      <c r="B36" s="81" t="s">
        <v>1403</v>
      </c>
      <c r="C36" s="6">
        <v>33</v>
      </c>
      <c r="D36" s="6" t="s">
        <v>2222</v>
      </c>
      <c r="E36" s="10"/>
      <c r="F36" s="160">
        <v>0</v>
      </c>
      <c r="G36" s="160">
        <v>0</v>
      </c>
      <c r="H36" s="160">
        <v>0</v>
      </c>
      <c r="I36" s="160">
        <v>0</v>
      </c>
      <c r="J36" s="307">
        <v>0</v>
      </c>
      <c r="K36" s="308">
        <v>0</v>
      </c>
    </row>
    <row r="37" spans="1:11">
      <c r="A37" s="305"/>
      <c r="B37" s="81" t="s">
        <v>1404</v>
      </c>
      <c r="C37" s="309">
        <v>34</v>
      </c>
      <c r="D37" s="6" t="s">
        <v>2223</v>
      </c>
      <c r="E37" s="170" t="s">
        <v>2229</v>
      </c>
      <c r="F37" s="160">
        <v>0</v>
      </c>
      <c r="G37" s="160">
        <v>0</v>
      </c>
      <c r="H37" s="160">
        <v>0</v>
      </c>
      <c r="I37" s="160">
        <v>0</v>
      </c>
      <c r="J37" s="307">
        <v>0</v>
      </c>
      <c r="K37" s="308">
        <v>0</v>
      </c>
    </row>
    <row r="38" spans="1:11">
      <c r="A38" s="305"/>
      <c r="B38" s="81" t="s">
        <v>1385</v>
      </c>
      <c r="C38" s="6">
        <v>35</v>
      </c>
      <c r="D38" s="6" t="s">
        <v>2224</v>
      </c>
      <c r="E38" s="170" t="s">
        <v>2230</v>
      </c>
      <c r="F38" s="160">
        <v>0</v>
      </c>
      <c r="G38" s="160">
        <v>0</v>
      </c>
      <c r="H38" s="160">
        <v>0</v>
      </c>
      <c r="I38" s="160">
        <v>0</v>
      </c>
      <c r="J38" s="307">
        <v>0</v>
      </c>
      <c r="K38" s="308">
        <v>0</v>
      </c>
    </row>
    <row r="39" spans="1:11">
      <c r="A39" s="305"/>
      <c r="B39" s="81" t="s">
        <v>1129</v>
      </c>
      <c r="C39" s="159">
        <v>36</v>
      </c>
      <c r="D39" s="6" t="s">
        <v>2225</v>
      </c>
      <c r="E39" s="6" t="s">
        <v>933</v>
      </c>
      <c r="F39" s="160">
        <v>0</v>
      </c>
      <c r="G39" s="160">
        <v>0</v>
      </c>
      <c r="H39" s="160">
        <v>0</v>
      </c>
      <c r="I39" s="160">
        <v>0</v>
      </c>
      <c r="J39" s="307">
        <v>0</v>
      </c>
      <c r="K39" s="308">
        <v>0</v>
      </c>
    </row>
    <row r="40" spans="1:11">
      <c r="A40" s="305"/>
      <c r="B40" s="81" t="s">
        <v>1405</v>
      </c>
      <c r="C40" s="6">
        <v>37</v>
      </c>
      <c r="D40" s="6" t="s">
        <v>2226</v>
      </c>
      <c r="E40" s="6" t="s">
        <v>933</v>
      </c>
      <c r="F40" s="160">
        <v>0</v>
      </c>
      <c r="G40" s="160">
        <v>0</v>
      </c>
      <c r="H40" s="160">
        <v>0</v>
      </c>
      <c r="I40" s="160">
        <v>0</v>
      </c>
      <c r="J40" s="307">
        <v>0</v>
      </c>
      <c r="K40" s="308">
        <v>0</v>
      </c>
    </row>
    <row r="41" spans="1:11">
      <c r="A41" s="305"/>
      <c r="B41" s="81" t="s">
        <v>1406</v>
      </c>
      <c r="C41" s="6">
        <v>38</v>
      </c>
      <c r="D41" s="6" t="s">
        <v>2227</v>
      </c>
      <c r="E41" s="170" t="s">
        <v>2230</v>
      </c>
      <c r="F41" s="160">
        <v>0</v>
      </c>
      <c r="G41" s="160">
        <v>0</v>
      </c>
      <c r="H41" s="160">
        <v>0</v>
      </c>
      <c r="I41" s="160">
        <v>0</v>
      </c>
      <c r="J41" s="307">
        <v>0</v>
      </c>
      <c r="K41" s="308">
        <v>0</v>
      </c>
    </row>
    <row r="42" spans="1:11">
      <c r="A42" s="305"/>
      <c r="B42" s="81" t="s">
        <v>1407</v>
      </c>
      <c r="C42" s="309">
        <v>39</v>
      </c>
      <c r="D42" s="160" t="s">
        <v>2228</v>
      </c>
      <c r="E42" s="170" t="s">
        <v>2231</v>
      </c>
      <c r="F42" s="160">
        <v>0</v>
      </c>
      <c r="G42" s="160">
        <v>0</v>
      </c>
      <c r="H42" s="160">
        <v>0</v>
      </c>
      <c r="I42" s="160">
        <v>0</v>
      </c>
      <c r="J42" s="307">
        <v>0</v>
      </c>
      <c r="K42" s="308">
        <v>0</v>
      </c>
    </row>
    <row r="43" spans="1:11">
      <c r="A43" s="305"/>
      <c r="B43" s="81" t="s">
        <v>1408</v>
      </c>
      <c r="C43" s="6">
        <v>40</v>
      </c>
      <c r="D43" s="6" t="s">
        <v>1172</v>
      </c>
      <c r="E43" s="6" t="s">
        <v>42</v>
      </c>
      <c r="F43" s="160">
        <v>0</v>
      </c>
      <c r="G43" s="160">
        <v>0</v>
      </c>
      <c r="H43" s="160">
        <v>0</v>
      </c>
      <c r="I43" s="160">
        <v>0</v>
      </c>
      <c r="J43" s="307">
        <v>0</v>
      </c>
      <c r="K43" s="308">
        <v>0</v>
      </c>
    </row>
    <row r="44" spans="1:11">
      <c r="A44" s="305"/>
      <c r="B44" s="81" t="s">
        <v>1409</v>
      </c>
      <c r="C44" s="159">
        <v>41</v>
      </c>
      <c r="D44" s="6" t="s">
        <v>1173</v>
      </c>
      <c r="E44" s="6" t="s">
        <v>42</v>
      </c>
      <c r="F44" s="160">
        <v>0</v>
      </c>
      <c r="G44" s="160">
        <v>0</v>
      </c>
      <c r="H44" s="160">
        <v>0</v>
      </c>
      <c r="I44" s="160">
        <v>0</v>
      </c>
      <c r="J44" s="307">
        <v>0</v>
      </c>
      <c r="K44" s="308">
        <v>0</v>
      </c>
    </row>
    <row r="45" spans="1:11">
      <c r="A45" s="305"/>
      <c r="B45" s="81" t="s">
        <v>1410</v>
      </c>
      <c r="C45" s="6">
        <v>42</v>
      </c>
      <c r="D45" s="6" t="s">
        <v>1175</v>
      </c>
      <c r="E45" s="6" t="s">
        <v>42</v>
      </c>
      <c r="F45" s="160">
        <v>0</v>
      </c>
      <c r="G45" s="160">
        <v>0</v>
      </c>
      <c r="H45" s="160">
        <v>0</v>
      </c>
      <c r="I45" s="160">
        <v>0</v>
      </c>
      <c r="J45" s="307">
        <v>0</v>
      </c>
      <c r="K45" s="308">
        <v>0</v>
      </c>
    </row>
    <row r="46" spans="1:11">
      <c r="A46" s="305"/>
      <c r="B46" s="81" t="s">
        <v>1411</v>
      </c>
      <c r="C46" s="6">
        <v>43</v>
      </c>
      <c r="D46" s="6" t="s">
        <v>1177</v>
      </c>
      <c r="E46" s="6" t="s">
        <v>1178</v>
      </c>
      <c r="F46" s="160">
        <v>0</v>
      </c>
      <c r="G46" s="160">
        <v>0</v>
      </c>
      <c r="H46" s="160">
        <v>0</v>
      </c>
      <c r="I46" s="160">
        <v>0</v>
      </c>
      <c r="J46" s="307">
        <v>0</v>
      </c>
      <c r="K46" s="308">
        <v>0</v>
      </c>
    </row>
    <row r="47" spans="1:11">
      <c r="A47" s="305"/>
      <c r="B47" s="81" t="s">
        <v>1412</v>
      </c>
      <c r="C47" s="309">
        <v>44</v>
      </c>
      <c r="D47" s="6" t="s">
        <v>1179</v>
      </c>
      <c r="E47" s="6" t="s">
        <v>1178</v>
      </c>
      <c r="F47" s="160">
        <v>0</v>
      </c>
      <c r="G47" s="160">
        <v>0</v>
      </c>
      <c r="H47" s="160">
        <v>0</v>
      </c>
      <c r="I47" s="160">
        <v>0</v>
      </c>
      <c r="J47" s="307">
        <v>0</v>
      </c>
      <c r="K47" s="308">
        <v>0</v>
      </c>
    </row>
    <row r="48" spans="1:11">
      <c r="A48" s="305"/>
      <c r="B48" s="81" t="s">
        <v>1413</v>
      </c>
      <c r="C48" s="6">
        <v>45</v>
      </c>
      <c r="D48" s="6" t="s">
        <v>1180</v>
      </c>
      <c r="E48" s="6" t="s">
        <v>1178</v>
      </c>
      <c r="F48" s="160">
        <v>0</v>
      </c>
      <c r="G48" s="160">
        <v>0</v>
      </c>
      <c r="H48" s="160">
        <v>0</v>
      </c>
      <c r="I48" s="160">
        <v>0</v>
      </c>
      <c r="J48" s="307">
        <v>0</v>
      </c>
      <c r="K48" s="308">
        <v>0</v>
      </c>
    </row>
    <row r="49" spans="1:11">
      <c r="A49" s="305"/>
      <c r="B49" s="81" t="s">
        <v>1414</v>
      </c>
      <c r="C49" s="159">
        <v>46</v>
      </c>
      <c r="D49" s="6" t="s">
        <v>1181</v>
      </c>
      <c r="E49" s="6" t="s">
        <v>42</v>
      </c>
      <c r="F49" s="160">
        <v>0</v>
      </c>
      <c r="G49" s="160">
        <v>0</v>
      </c>
      <c r="H49" s="160">
        <v>0</v>
      </c>
      <c r="I49" s="160">
        <v>0</v>
      </c>
      <c r="J49" s="307">
        <v>0</v>
      </c>
      <c r="K49" s="308">
        <v>0</v>
      </c>
    </row>
    <row r="50" spans="1:11">
      <c r="A50" s="305"/>
      <c r="B50" s="81" t="s">
        <v>1415</v>
      </c>
      <c r="C50" s="6">
        <v>47</v>
      </c>
      <c r="D50" s="6" t="s">
        <v>1182</v>
      </c>
      <c r="E50" s="6" t="s">
        <v>42</v>
      </c>
      <c r="F50" s="160">
        <v>0</v>
      </c>
      <c r="G50" s="160">
        <v>0</v>
      </c>
      <c r="H50" s="160">
        <v>0</v>
      </c>
      <c r="I50" s="160">
        <v>0</v>
      </c>
      <c r="J50" s="307">
        <v>0</v>
      </c>
      <c r="K50" s="308">
        <v>0</v>
      </c>
    </row>
    <row r="51" spans="1:11">
      <c r="A51" s="305"/>
      <c r="B51" s="81" t="s">
        <v>1416</v>
      </c>
      <c r="C51" s="6">
        <v>48</v>
      </c>
      <c r="D51" s="6" t="s">
        <v>1183</v>
      </c>
      <c r="E51" s="6" t="s">
        <v>42</v>
      </c>
      <c r="F51" s="160">
        <v>0</v>
      </c>
      <c r="G51" s="160">
        <v>0</v>
      </c>
      <c r="H51" s="160">
        <v>0</v>
      </c>
      <c r="I51" s="160">
        <v>0</v>
      </c>
      <c r="J51" s="307">
        <v>0</v>
      </c>
      <c r="K51" s="308">
        <v>0</v>
      </c>
    </row>
    <row r="52" spans="1:11">
      <c r="A52" s="305"/>
      <c r="B52" s="81" t="s">
        <v>1417</v>
      </c>
      <c r="C52" s="309">
        <v>49</v>
      </c>
      <c r="D52" s="6" t="s">
        <v>1184</v>
      </c>
      <c r="E52" s="6" t="s">
        <v>1178</v>
      </c>
      <c r="F52" s="160">
        <v>0</v>
      </c>
      <c r="G52" s="160">
        <v>0</v>
      </c>
      <c r="H52" s="160">
        <v>0</v>
      </c>
      <c r="I52" s="160">
        <v>0</v>
      </c>
      <c r="J52" s="307">
        <v>0</v>
      </c>
      <c r="K52" s="308">
        <v>0</v>
      </c>
    </row>
    <row r="53" spans="1:11" s="80" customFormat="1">
      <c r="A53" s="305"/>
      <c r="B53" s="81" t="s">
        <v>1418</v>
      </c>
      <c r="C53" s="6">
        <v>50</v>
      </c>
      <c r="D53" s="6" t="s">
        <v>1185</v>
      </c>
      <c r="E53" s="6" t="s">
        <v>42</v>
      </c>
      <c r="F53" s="160">
        <v>0</v>
      </c>
      <c r="G53" s="160">
        <v>0</v>
      </c>
      <c r="H53" s="160">
        <v>0</v>
      </c>
      <c r="I53" s="160">
        <v>0</v>
      </c>
      <c r="J53" s="307">
        <v>0</v>
      </c>
      <c r="K53" s="308">
        <v>0</v>
      </c>
    </row>
    <row r="54" spans="1:11">
      <c r="A54" s="305"/>
      <c r="B54" s="81" t="s">
        <v>2034</v>
      </c>
      <c r="C54" s="159">
        <v>51</v>
      </c>
      <c r="D54" s="6" t="s">
        <v>1186</v>
      </c>
      <c r="E54" s="6" t="s">
        <v>1178</v>
      </c>
      <c r="F54" s="160">
        <v>0</v>
      </c>
      <c r="G54" s="160">
        <v>0</v>
      </c>
      <c r="H54" s="160">
        <v>0</v>
      </c>
      <c r="I54" s="160">
        <v>0</v>
      </c>
      <c r="J54" s="307">
        <v>0</v>
      </c>
      <c r="K54" s="308">
        <v>0</v>
      </c>
    </row>
    <row r="55" spans="1:11">
      <c r="A55" s="305"/>
      <c r="B55" s="81" t="s">
        <v>2035</v>
      </c>
      <c r="C55" s="6">
        <v>52</v>
      </c>
      <c r="D55" s="6" t="s">
        <v>1205</v>
      </c>
      <c r="E55" s="6" t="s">
        <v>1178</v>
      </c>
      <c r="F55" s="160">
        <v>0</v>
      </c>
      <c r="G55" s="160">
        <v>0</v>
      </c>
      <c r="H55" s="160">
        <v>0</v>
      </c>
      <c r="I55" s="160">
        <v>0</v>
      </c>
      <c r="J55" s="307">
        <v>0</v>
      </c>
      <c r="K55" s="308">
        <v>0</v>
      </c>
    </row>
    <row r="56" spans="1:11">
      <c r="A56" s="305"/>
      <c r="B56" s="81" t="s">
        <v>2036</v>
      </c>
      <c r="C56" s="6">
        <v>53</v>
      </c>
      <c r="D56" s="159" t="s">
        <v>32</v>
      </c>
      <c r="E56" s="159" t="s">
        <v>2232</v>
      </c>
      <c r="F56" s="160">
        <v>0</v>
      </c>
      <c r="G56" s="160">
        <v>0</v>
      </c>
      <c r="H56" s="160">
        <v>0</v>
      </c>
      <c r="I56" s="160">
        <v>0</v>
      </c>
      <c r="J56" s="307">
        <v>0</v>
      </c>
      <c r="K56" s="308">
        <v>0</v>
      </c>
    </row>
    <row r="57" spans="1:11">
      <c r="A57" s="6"/>
      <c r="B57" s="81" t="s">
        <v>2037</v>
      </c>
      <c r="C57" s="309">
        <v>54</v>
      </c>
      <c r="D57" s="6" t="s">
        <v>2087</v>
      </c>
      <c r="E57" s="6" t="s">
        <v>2233</v>
      </c>
      <c r="F57" s="160">
        <v>0</v>
      </c>
      <c r="G57" s="160">
        <v>0</v>
      </c>
      <c r="H57" s="160">
        <v>0</v>
      </c>
      <c r="I57" s="160">
        <v>0</v>
      </c>
      <c r="J57" s="307">
        <v>0</v>
      </c>
      <c r="K57" s="308">
        <v>0</v>
      </c>
    </row>
    <row r="58" spans="1:11">
      <c r="A58" s="6"/>
      <c r="B58" s="81" t="s">
        <v>2038</v>
      </c>
      <c r="C58" s="6">
        <v>55</v>
      </c>
      <c r="D58" s="6" t="s">
        <v>2214</v>
      </c>
      <c r="E58" s="24" t="s">
        <v>42</v>
      </c>
      <c r="F58" s="160">
        <v>0</v>
      </c>
      <c r="G58" s="160">
        <v>0</v>
      </c>
      <c r="H58" s="160">
        <v>0</v>
      </c>
      <c r="I58" s="160">
        <v>0</v>
      </c>
      <c r="J58" s="307">
        <v>0</v>
      </c>
      <c r="K58" s="308">
        <v>0</v>
      </c>
    </row>
    <row r="59" spans="1:11">
      <c r="A59" s="183"/>
      <c r="B59" s="81" t="s">
        <v>1392</v>
      </c>
      <c r="C59" s="159">
        <v>56</v>
      </c>
      <c r="D59" s="183" t="s">
        <v>2215</v>
      </c>
      <c r="E59" s="6" t="s">
        <v>1178</v>
      </c>
      <c r="F59" s="160">
        <v>0</v>
      </c>
      <c r="G59" s="160">
        <v>0</v>
      </c>
      <c r="H59" s="160">
        <v>0</v>
      </c>
      <c r="I59" s="160">
        <v>0</v>
      </c>
      <c r="J59" s="307">
        <v>0</v>
      </c>
      <c r="K59" s="308">
        <v>0</v>
      </c>
    </row>
    <row r="60" spans="1:11">
      <c r="A60" s="270"/>
      <c r="B60" s="81" t="s">
        <v>2039</v>
      </c>
      <c r="C60" s="6">
        <v>57</v>
      </c>
      <c r="D60" s="270" t="s">
        <v>2216</v>
      </c>
      <c r="E60" s="6" t="s">
        <v>933</v>
      </c>
      <c r="F60" s="160">
        <v>0</v>
      </c>
      <c r="G60" s="160">
        <v>0</v>
      </c>
      <c r="H60" s="160">
        <v>0</v>
      </c>
      <c r="I60" s="160">
        <v>0</v>
      </c>
      <c r="J60" s="307">
        <v>0</v>
      </c>
      <c r="K60" s="308">
        <v>0</v>
      </c>
    </row>
    <row r="61" spans="1:11">
      <c r="A61" s="270"/>
      <c r="B61" s="81" t="s">
        <v>2040</v>
      </c>
      <c r="C61" s="6">
        <v>58</v>
      </c>
      <c r="D61" s="270" t="s">
        <v>2217</v>
      </c>
      <c r="E61" s="6" t="s">
        <v>42</v>
      </c>
      <c r="F61" s="160">
        <v>0</v>
      </c>
      <c r="G61" s="160">
        <v>0</v>
      </c>
      <c r="H61" s="160">
        <v>0</v>
      </c>
      <c r="I61" s="160">
        <v>0</v>
      </c>
      <c r="J61" s="307">
        <v>0</v>
      </c>
      <c r="K61" s="308">
        <v>0</v>
      </c>
    </row>
    <row r="62" spans="1:11">
      <c r="A62" s="6"/>
      <c r="B62" s="81" t="s">
        <v>2041</v>
      </c>
      <c r="C62" s="309">
        <v>59</v>
      </c>
      <c r="D62" s="6" t="s">
        <v>2218</v>
      </c>
      <c r="E62" s="6" t="s">
        <v>42</v>
      </c>
      <c r="F62" s="160">
        <v>0</v>
      </c>
      <c r="G62" s="160">
        <v>0</v>
      </c>
      <c r="H62" s="160">
        <v>0</v>
      </c>
      <c r="I62" s="160">
        <v>0</v>
      </c>
      <c r="J62" s="307">
        <v>0</v>
      </c>
      <c r="K62" s="308">
        <v>0</v>
      </c>
    </row>
    <row r="63" spans="1:11">
      <c r="A63" s="6"/>
      <c r="B63" s="81" t="s">
        <v>2042</v>
      </c>
      <c r="C63" s="6">
        <v>60</v>
      </c>
      <c r="D63" s="6" t="s">
        <v>2235</v>
      </c>
      <c r="E63" s="6" t="s">
        <v>42</v>
      </c>
      <c r="F63" s="160">
        <v>0</v>
      </c>
      <c r="G63" s="160">
        <v>0</v>
      </c>
      <c r="H63" s="160">
        <v>0</v>
      </c>
      <c r="I63" s="160">
        <v>0</v>
      </c>
      <c r="J63" s="307">
        <v>0</v>
      </c>
      <c r="K63" s="308">
        <v>0</v>
      </c>
    </row>
    <row r="64" spans="1:11">
      <c r="A64" s="310"/>
      <c r="B64" s="81" t="s">
        <v>2234</v>
      </c>
      <c r="C64" s="159">
        <v>61</v>
      </c>
      <c r="D64" s="310" t="s">
        <v>2237</v>
      </c>
      <c r="E64" s="6" t="s">
        <v>42</v>
      </c>
      <c r="F64" s="160">
        <v>0</v>
      </c>
      <c r="G64" s="160">
        <v>0</v>
      </c>
      <c r="H64" s="160">
        <v>0</v>
      </c>
      <c r="I64" s="160">
        <v>0</v>
      </c>
      <c r="J64" s="307">
        <v>0</v>
      </c>
      <c r="K64" s="308">
        <v>0</v>
      </c>
    </row>
    <row r="65" spans="1:11">
      <c r="A65" s="6"/>
      <c r="B65" s="81" t="s">
        <v>2236</v>
      </c>
      <c r="C65" s="6">
        <v>62</v>
      </c>
      <c r="D65" s="6" t="s">
        <v>2239</v>
      </c>
      <c r="E65" s="6" t="s">
        <v>2240</v>
      </c>
      <c r="F65" s="160">
        <v>0</v>
      </c>
      <c r="G65" s="160">
        <v>0</v>
      </c>
      <c r="H65" s="160">
        <v>0</v>
      </c>
      <c r="I65" s="160">
        <v>0</v>
      </c>
      <c r="J65" s="307">
        <v>0</v>
      </c>
      <c r="K65" s="308">
        <v>0</v>
      </c>
    </row>
    <row r="66" spans="1:11">
      <c r="A66" s="270"/>
      <c r="B66" s="81" t="s">
        <v>2238</v>
      </c>
      <c r="C66" s="6">
        <v>63</v>
      </c>
      <c r="D66" s="270" t="s">
        <v>2242</v>
      </c>
      <c r="E66" s="6"/>
      <c r="F66" s="160">
        <v>0</v>
      </c>
      <c r="G66" s="160">
        <v>0</v>
      </c>
      <c r="H66" s="160">
        <v>0</v>
      </c>
      <c r="I66" s="160">
        <v>0</v>
      </c>
      <c r="J66" s="307">
        <v>0</v>
      </c>
      <c r="K66" s="308">
        <v>0</v>
      </c>
    </row>
    <row r="67" spans="1:11" s="87" customFormat="1">
      <c r="A67" s="270"/>
      <c r="B67" s="81" t="s">
        <v>2241</v>
      </c>
      <c r="C67" s="309">
        <v>64</v>
      </c>
      <c r="D67" s="270" t="s">
        <v>2244</v>
      </c>
      <c r="E67" s="312" t="s">
        <v>2245</v>
      </c>
      <c r="F67" s="160">
        <v>0</v>
      </c>
      <c r="G67" s="160">
        <v>0</v>
      </c>
      <c r="H67" s="160">
        <v>0</v>
      </c>
      <c r="I67" s="160">
        <v>0</v>
      </c>
      <c r="J67" s="307">
        <v>0</v>
      </c>
      <c r="K67" s="308">
        <v>0</v>
      </c>
    </row>
    <row r="68" spans="1:11">
      <c r="A68" s="242"/>
      <c r="B68" s="81" t="s">
        <v>2243</v>
      </c>
      <c r="C68" s="6">
        <v>65</v>
      </c>
      <c r="D68" s="242" t="s">
        <v>2247</v>
      </c>
      <c r="E68" s="6" t="s">
        <v>1262</v>
      </c>
      <c r="F68" s="160">
        <v>0</v>
      </c>
      <c r="G68" s="160">
        <v>0</v>
      </c>
      <c r="H68" s="160">
        <v>0</v>
      </c>
      <c r="I68" s="160">
        <v>0</v>
      </c>
      <c r="J68" s="307">
        <v>0</v>
      </c>
      <c r="K68" s="308">
        <v>0</v>
      </c>
    </row>
    <row r="69" spans="1:11">
      <c r="A69" s="311"/>
      <c r="B69" s="81" t="s">
        <v>2246</v>
      </c>
      <c r="C69" s="159">
        <v>66</v>
      </c>
      <c r="D69" s="311" t="s">
        <v>2249</v>
      </c>
      <c r="E69" s="6" t="s">
        <v>42</v>
      </c>
      <c r="F69" s="160">
        <v>0</v>
      </c>
      <c r="G69" s="160">
        <v>0</v>
      </c>
      <c r="H69" s="160">
        <v>0</v>
      </c>
      <c r="I69" s="160">
        <v>0</v>
      </c>
      <c r="J69" s="307">
        <v>0</v>
      </c>
      <c r="K69" s="308">
        <v>0</v>
      </c>
    </row>
    <row r="70" spans="1:11">
      <c r="A70" s="6"/>
      <c r="B70" s="81" t="s">
        <v>2248</v>
      </c>
      <c r="C70" s="6">
        <v>67</v>
      </c>
      <c r="D70" s="6" t="s">
        <v>1206</v>
      </c>
      <c r="E70" s="6"/>
      <c r="F70" s="160">
        <v>0</v>
      </c>
      <c r="G70" s="160">
        <v>0</v>
      </c>
      <c r="H70" s="160">
        <v>0</v>
      </c>
      <c r="I70" s="160">
        <v>0</v>
      </c>
      <c r="J70" s="307">
        <v>0</v>
      </c>
      <c r="K70" s="308">
        <v>0</v>
      </c>
    </row>
    <row r="71" spans="1:11">
      <c r="A71" s="6"/>
      <c r="B71" s="81" t="s">
        <v>2250</v>
      </c>
      <c r="C71" s="6">
        <v>30</v>
      </c>
      <c r="D71" s="6" t="s">
        <v>1206</v>
      </c>
      <c r="E71" s="170" t="s">
        <v>1174</v>
      </c>
      <c r="F71" s="6">
        <v>9</v>
      </c>
      <c r="G71" s="6"/>
      <c r="H71" s="6"/>
      <c r="I71" s="6">
        <f t="shared" si="0"/>
        <v>9</v>
      </c>
      <c r="J71" s="21">
        <v>2.5</v>
      </c>
      <c r="K71" s="100">
        <f t="shared" si="1"/>
        <v>22.5</v>
      </c>
    </row>
    <row r="72" spans="1:11">
      <c r="A72" s="6"/>
      <c r="B72" s="81" t="s">
        <v>2252</v>
      </c>
      <c r="C72" s="6">
        <v>31</v>
      </c>
      <c r="D72" s="10" t="s">
        <v>1208</v>
      </c>
      <c r="E72" s="6" t="s">
        <v>42</v>
      </c>
      <c r="F72" s="6">
        <v>3</v>
      </c>
      <c r="G72" s="6">
        <v>5000</v>
      </c>
      <c r="H72" s="6"/>
      <c r="I72" s="6">
        <f t="shared" si="0"/>
        <v>5003</v>
      </c>
      <c r="J72" s="21">
        <v>2.7</v>
      </c>
      <c r="K72" s="100">
        <f t="shared" si="1"/>
        <v>13508.1</v>
      </c>
    </row>
    <row r="73" spans="1:11">
      <c r="A73" s="6"/>
      <c r="B73" s="81" t="s">
        <v>2253</v>
      </c>
      <c r="C73" s="6">
        <v>32</v>
      </c>
      <c r="D73" s="10" t="s">
        <v>1209</v>
      </c>
      <c r="E73" s="6" t="s">
        <v>42</v>
      </c>
      <c r="F73" s="6">
        <v>3</v>
      </c>
      <c r="G73" s="6"/>
      <c r="H73" s="6"/>
      <c r="I73" s="6">
        <f t="shared" si="0"/>
        <v>3</v>
      </c>
      <c r="J73" s="21">
        <v>3</v>
      </c>
      <c r="K73" s="100">
        <f t="shared" si="1"/>
        <v>9</v>
      </c>
    </row>
    <row r="74" spans="1:11">
      <c r="A74" s="6"/>
      <c r="B74" s="81" t="s">
        <v>2254</v>
      </c>
      <c r="C74" s="6">
        <v>33</v>
      </c>
      <c r="D74" s="10" t="s">
        <v>1213</v>
      </c>
      <c r="E74" s="6" t="s">
        <v>42</v>
      </c>
      <c r="F74" s="6">
        <v>12</v>
      </c>
      <c r="G74" s="6"/>
      <c r="H74" s="6"/>
      <c r="I74" s="6">
        <f t="shared" si="0"/>
        <v>12</v>
      </c>
      <c r="J74" s="21">
        <v>1</v>
      </c>
      <c r="K74" s="100">
        <f t="shared" si="1"/>
        <v>12</v>
      </c>
    </row>
    <row r="75" spans="1:11">
      <c r="A75" s="6"/>
      <c r="B75" s="81" t="s">
        <v>2255</v>
      </c>
      <c r="C75" s="6">
        <v>34</v>
      </c>
      <c r="D75" s="10" t="s">
        <v>1214</v>
      </c>
      <c r="E75" s="6" t="s">
        <v>42</v>
      </c>
      <c r="F75" s="6">
        <v>7</v>
      </c>
      <c r="G75" s="6"/>
      <c r="H75" s="6"/>
      <c r="I75" s="6">
        <f t="shared" si="0"/>
        <v>7</v>
      </c>
      <c r="J75" s="21">
        <v>1</v>
      </c>
      <c r="K75" s="100">
        <f t="shared" si="1"/>
        <v>7</v>
      </c>
    </row>
    <row r="76" spans="1:11">
      <c r="A76" s="160"/>
      <c r="B76" s="81" t="s">
        <v>2256</v>
      </c>
      <c r="C76" s="6">
        <v>35</v>
      </c>
      <c r="D76" s="258" t="s">
        <v>1172</v>
      </c>
      <c r="E76" s="6" t="s">
        <v>42</v>
      </c>
      <c r="F76" s="258">
        <v>80</v>
      </c>
      <c r="G76" s="258">
        <f>400+2000</f>
        <v>2400</v>
      </c>
      <c r="H76" s="258">
        <f>400+2000</f>
        <v>2400</v>
      </c>
      <c r="I76" s="6">
        <f t="shared" si="0"/>
        <v>80</v>
      </c>
      <c r="J76" s="259">
        <v>4.25</v>
      </c>
      <c r="K76" s="100">
        <f t="shared" si="1"/>
        <v>340</v>
      </c>
    </row>
    <row r="77" spans="1:11">
      <c r="A77" s="6"/>
      <c r="B77" s="81" t="s">
        <v>2257</v>
      </c>
      <c r="C77" s="6">
        <v>36</v>
      </c>
      <c r="D77" s="258" t="s">
        <v>1173</v>
      </c>
      <c r="E77" s="6" t="s">
        <v>42</v>
      </c>
      <c r="F77" s="258">
        <v>24</v>
      </c>
      <c r="G77" s="258"/>
      <c r="H77" s="258"/>
      <c r="I77" s="6">
        <f t="shared" si="0"/>
        <v>24</v>
      </c>
      <c r="J77" s="259">
        <v>2.7</v>
      </c>
      <c r="K77" s="100">
        <f t="shared" si="1"/>
        <v>64.800000000000011</v>
      </c>
    </row>
    <row r="78" spans="1:11">
      <c r="A78" s="6"/>
      <c r="B78" s="81" t="s">
        <v>2258</v>
      </c>
      <c r="C78" s="6">
        <v>37</v>
      </c>
      <c r="D78" s="258" t="s">
        <v>1175</v>
      </c>
      <c r="E78" s="6" t="s">
        <v>42</v>
      </c>
      <c r="F78" s="258">
        <v>50</v>
      </c>
      <c r="G78" s="258"/>
      <c r="H78" s="258"/>
      <c r="I78" s="6">
        <f t="shared" si="0"/>
        <v>50</v>
      </c>
      <c r="J78" s="259">
        <v>4</v>
      </c>
      <c r="K78" s="100">
        <f t="shared" si="1"/>
        <v>200</v>
      </c>
    </row>
    <row r="79" spans="1:11">
      <c r="A79" s="6"/>
      <c r="B79" s="81" t="s">
        <v>2259</v>
      </c>
      <c r="C79" s="6">
        <v>38</v>
      </c>
      <c r="D79" s="258" t="s">
        <v>1177</v>
      </c>
      <c r="E79" s="258" t="s">
        <v>1178</v>
      </c>
      <c r="F79" s="258">
        <v>31</v>
      </c>
      <c r="G79" s="258">
        <f>6000+6000</f>
        <v>12000</v>
      </c>
      <c r="H79" s="258"/>
      <c r="I79" s="6">
        <v>1000</v>
      </c>
      <c r="J79" s="259">
        <v>2.75</v>
      </c>
      <c r="K79" s="100">
        <f t="shared" si="1"/>
        <v>2750</v>
      </c>
    </row>
    <row r="80" spans="1:11">
      <c r="A80" s="6"/>
      <c r="B80" s="81" t="s">
        <v>2260</v>
      </c>
      <c r="C80" s="6">
        <v>39</v>
      </c>
      <c r="D80" s="258" t="s">
        <v>1179</v>
      </c>
      <c r="E80" s="258" t="s">
        <v>1178</v>
      </c>
      <c r="F80" s="258">
        <v>16</v>
      </c>
      <c r="G80" s="258"/>
      <c r="H80" s="258"/>
      <c r="I80" s="6">
        <f t="shared" si="0"/>
        <v>16</v>
      </c>
      <c r="J80" s="259">
        <v>3</v>
      </c>
      <c r="K80" s="100">
        <f t="shared" si="1"/>
        <v>48</v>
      </c>
    </row>
    <row r="81" spans="1:11">
      <c r="A81" s="6"/>
      <c r="B81" s="81" t="s">
        <v>2261</v>
      </c>
      <c r="C81" s="6">
        <v>40</v>
      </c>
      <c r="D81" s="258" t="s">
        <v>1180</v>
      </c>
      <c r="E81" s="258" t="s">
        <v>1178</v>
      </c>
      <c r="F81" s="258">
        <v>26</v>
      </c>
      <c r="G81" s="258"/>
      <c r="H81" s="258"/>
      <c r="I81" s="6">
        <f t="shared" si="0"/>
        <v>26</v>
      </c>
      <c r="J81" s="259">
        <v>3.5</v>
      </c>
      <c r="K81" s="100">
        <f t="shared" si="1"/>
        <v>91</v>
      </c>
    </row>
    <row r="82" spans="1:11">
      <c r="A82" s="6"/>
      <c r="B82" s="81" t="s">
        <v>2262</v>
      </c>
      <c r="C82" s="6">
        <v>41</v>
      </c>
      <c r="D82" s="258" t="s">
        <v>1181</v>
      </c>
      <c r="E82" s="6" t="s">
        <v>42</v>
      </c>
      <c r="F82" s="258">
        <v>39</v>
      </c>
      <c r="G82" s="258"/>
      <c r="H82" s="258"/>
      <c r="I82" s="6">
        <f t="shared" si="0"/>
        <v>39</v>
      </c>
      <c r="J82" s="259">
        <v>8</v>
      </c>
      <c r="K82" s="100">
        <f t="shared" si="1"/>
        <v>312</v>
      </c>
    </row>
    <row r="83" spans="1:11">
      <c r="A83" s="6"/>
      <c r="B83" s="81" t="s">
        <v>2263</v>
      </c>
      <c r="C83" s="6">
        <v>42</v>
      </c>
      <c r="D83" s="10" t="s">
        <v>1182</v>
      </c>
      <c r="E83" s="6" t="s">
        <v>42</v>
      </c>
      <c r="F83" s="258">
        <f>40+39+40+30+130+4</f>
        <v>283</v>
      </c>
      <c r="G83" s="258"/>
      <c r="H83" s="258"/>
      <c r="I83" s="6">
        <f t="shared" si="0"/>
        <v>283</v>
      </c>
      <c r="J83" s="259">
        <v>4.5</v>
      </c>
      <c r="K83" s="100">
        <f t="shared" si="1"/>
        <v>1273.5</v>
      </c>
    </row>
    <row r="84" spans="1:11">
      <c r="A84" s="6"/>
      <c r="B84" s="81" t="s">
        <v>2264</v>
      </c>
      <c r="C84" s="6">
        <v>43</v>
      </c>
      <c r="D84" s="10" t="s">
        <v>1183</v>
      </c>
      <c r="E84" s="6" t="s">
        <v>42</v>
      </c>
      <c r="F84" s="258">
        <v>50</v>
      </c>
      <c r="G84" s="258"/>
      <c r="H84" s="258"/>
      <c r="I84" s="6">
        <f t="shared" si="0"/>
        <v>50</v>
      </c>
      <c r="J84" s="259">
        <v>4.5</v>
      </c>
      <c r="K84" s="100">
        <f t="shared" si="1"/>
        <v>225</v>
      </c>
    </row>
    <row r="85" spans="1:11">
      <c r="A85" s="6"/>
      <c r="B85" s="81" t="s">
        <v>2265</v>
      </c>
      <c r="C85" s="6">
        <v>44</v>
      </c>
      <c r="D85" s="10" t="s">
        <v>1184</v>
      </c>
      <c r="E85" s="258" t="s">
        <v>1178</v>
      </c>
      <c r="F85" s="258">
        <v>483</v>
      </c>
      <c r="G85" s="258"/>
      <c r="H85" s="258"/>
      <c r="I85" s="6">
        <f t="shared" si="0"/>
        <v>483</v>
      </c>
      <c r="J85" s="259">
        <v>4</v>
      </c>
      <c r="K85" s="100">
        <f t="shared" si="1"/>
        <v>1932</v>
      </c>
    </row>
    <row r="86" spans="1:11">
      <c r="A86" s="6"/>
      <c r="B86" s="81" t="s">
        <v>2266</v>
      </c>
      <c r="C86" s="6">
        <v>45</v>
      </c>
      <c r="D86" s="10" t="s">
        <v>1185</v>
      </c>
      <c r="E86" s="6" t="s">
        <v>42</v>
      </c>
      <c r="F86" s="258">
        <v>8782</v>
      </c>
      <c r="G86" s="258"/>
      <c r="H86" s="258">
        <f>20+1404+600+2000+10</f>
        <v>4034</v>
      </c>
      <c r="I86" s="6">
        <f t="shared" si="0"/>
        <v>4748</v>
      </c>
      <c r="J86" s="259">
        <v>3.5</v>
      </c>
      <c r="K86" s="100">
        <f t="shared" si="1"/>
        <v>16618</v>
      </c>
    </row>
    <row r="87" spans="1:11">
      <c r="A87" s="6"/>
      <c r="B87" s="81" t="s">
        <v>2267</v>
      </c>
      <c r="C87" s="6">
        <v>46</v>
      </c>
      <c r="D87" s="10" t="s">
        <v>1186</v>
      </c>
      <c r="E87" s="258" t="s">
        <v>1178</v>
      </c>
      <c r="F87" s="258">
        <f>3310+500</f>
        <v>3810</v>
      </c>
      <c r="G87" s="258"/>
      <c r="H87" s="258">
        <f>10+702+5+15</f>
        <v>732</v>
      </c>
      <c r="I87" s="6">
        <f t="shared" si="0"/>
        <v>3078</v>
      </c>
      <c r="J87" s="259">
        <v>2.5</v>
      </c>
      <c r="K87" s="100">
        <f t="shared" si="1"/>
        <v>7695</v>
      </c>
    </row>
    <row r="88" spans="1:11">
      <c r="A88" s="6"/>
      <c r="B88" s="81" t="s">
        <v>2268</v>
      </c>
      <c r="C88" s="6">
        <v>47</v>
      </c>
      <c r="D88" s="10" t="s">
        <v>1205</v>
      </c>
      <c r="E88" s="258" t="s">
        <v>1178</v>
      </c>
      <c r="F88" s="258">
        <v>120</v>
      </c>
      <c r="G88" s="258">
        <v>6000</v>
      </c>
      <c r="H88" s="258"/>
      <c r="I88" s="6">
        <f t="shared" si="0"/>
        <v>6120</v>
      </c>
      <c r="J88" s="259">
        <v>2.25</v>
      </c>
      <c r="K88" s="100">
        <f t="shared" si="1"/>
        <v>13770</v>
      </c>
    </row>
    <row r="89" spans="1:11">
      <c r="A89" s="6"/>
      <c r="B89" s="81" t="s">
        <v>2269</v>
      </c>
      <c r="C89" s="6">
        <v>48</v>
      </c>
      <c r="D89" s="10" t="s">
        <v>1216</v>
      </c>
      <c r="E89" s="6" t="s">
        <v>42</v>
      </c>
      <c r="F89" s="258">
        <v>7</v>
      </c>
      <c r="G89" s="258"/>
      <c r="H89" s="258"/>
      <c r="I89" s="6">
        <f t="shared" si="0"/>
        <v>7</v>
      </c>
      <c r="J89" s="259">
        <v>2.5</v>
      </c>
      <c r="K89" s="100">
        <f t="shared" si="1"/>
        <v>17.5</v>
      </c>
    </row>
    <row r="90" spans="1:11">
      <c r="A90" s="6"/>
      <c r="B90" s="81" t="s">
        <v>2270</v>
      </c>
      <c r="C90" s="6">
        <v>49</v>
      </c>
      <c r="D90" s="10" t="s">
        <v>1217</v>
      </c>
      <c r="E90" s="6" t="s">
        <v>42</v>
      </c>
      <c r="F90" s="258">
        <v>8</v>
      </c>
      <c r="G90" s="258"/>
      <c r="H90" s="258">
        <v>1</v>
      </c>
      <c r="I90" s="6">
        <f t="shared" si="0"/>
        <v>7</v>
      </c>
      <c r="J90" s="259">
        <v>2.9</v>
      </c>
      <c r="K90" s="100">
        <f t="shared" si="1"/>
        <v>20.3</v>
      </c>
    </row>
    <row r="91" spans="1:11">
      <c r="A91" s="6"/>
      <c r="B91" s="81" t="s">
        <v>2271</v>
      </c>
      <c r="C91" s="6">
        <v>50</v>
      </c>
      <c r="D91" s="10" t="s">
        <v>1218</v>
      </c>
      <c r="E91" s="6" t="s">
        <v>42</v>
      </c>
      <c r="F91" s="258">
        <v>1</v>
      </c>
      <c r="G91" s="258"/>
      <c r="H91" s="258"/>
      <c r="I91" s="6">
        <f t="shared" si="0"/>
        <v>1</v>
      </c>
      <c r="J91" s="259">
        <v>4.5</v>
      </c>
      <c r="K91" s="100">
        <f t="shared" si="1"/>
        <v>4.5</v>
      </c>
    </row>
    <row r="92" spans="1:11">
      <c r="A92" s="6"/>
      <c r="B92" s="81" t="s">
        <v>2272</v>
      </c>
      <c r="C92" s="6">
        <v>51</v>
      </c>
      <c r="D92" s="10" t="s">
        <v>1219</v>
      </c>
      <c r="E92" s="6" t="s">
        <v>42</v>
      </c>
      <c r="F92" s="258">
        <v>5</v>
      </c>
      <c r="G92" s="258"/>
      <c r="H92" s="258"/>
      <c r="I92" s="6">
        <f t="shared" si="0"/>
        <v>5</v>
      </c>
      <c r="J92" s="259">
        <v>8</v>
      </c>
      <c r="K92" s="100">
        <f t="shared" si="1"/>
        <v>40</v>
      </c>
    </row>
    <row r="93" spans="1:11">
      <c r="A93" s="6"/>
      <c r="B93" s="81" t="s">
        <v>2273</v>
      </c>
      <c r="C93" s="6">
        <v>52</v>
      </c>
      <c r="D93" s="10" t="s">
        <v>1220</v>
      </c>
      <c r="E93" s="6" t="s">
        <v>42</v>
      </c>
      <c r="F93" s="258">
        <v>6</v>
      </c>
      <c r="G93" s="258"/>
      <c r="H93" s="258"/>
      <c r="I93" s="6">
        <f t="shared" si="0"/>
        <v>6</v>
      </c>
      <c r="J93" s="259">
        <v>6</v>
      </c>
      <c r="K93" s="100">
        <f t="shared" si="1"/>
        <v>36</v>
      </c>
    </row>
    <row r="94" spans="1:11">
      <c r="A94" s="159"/>
      <c r="B94" s="81" t="s">
        <v>2274</v>
      </c>
      <c r="C94" s="6">
        <v>53</v>
      </c>
      <c r="D94" s="10" t="s">
        <v>1221</v>
      </c>
      <c r="E94" s="6" t="s">
        <v>42</v>
      </c>
      <c r="F94" s="258">
        <v>2</v>
      </c>
      <c r="G94" s="258"/>
      <c r="H94" s="258"/>
      <c r="I94" s="6">
        <f t="shared" si="0"/>
        <v>2</v>
      </c>
      <c r="J94" s="259">
        <v>4.5</v>
      </c>
      <c r="K94" s="100">
        <f t="shared" si="1"/>
        <v>9</v>
      </c>
    </row>
    <row r="95" spans="1:11">
      <c r="A95" s="6"/>
      <c r="B95" s="81" t="s">
        <v>2275</v>
      </c>
      <c r="C95" s="6">
        <v>54</v>
      </c>
      <c r="D95" s="10" t="s">
        <v>1390</v>
      </c>
      <c r="E95" s="6" t="s">
        <v>42</v>
      </c>
      <c r="F95" s="258">
        <v>0</v>
      </c>
      <c r="G95" s="258">
        <v>2500</v>
      </c>
      <c r="H95" s="258"/>
      <c r="I95" s="6">
        <f t="shared" si="0"/>
        <v>2500</v>
      </c>
      <c r="J95" s="259">
        <v>3.75</v>
      </c>
      <c r="K95" s="100">
        <f t="shared" si="1"/>
        <v>9375</v>
      </c>
    </row>
    <row r="96" spans="1:11">
      <c r="A96" s="6"/>
      <c r="B96" s="81" t="s">
        <v>2276</v>
      </c>
      <c r="C96" s="6">
        <v>55</v>
      </c>
      <c r="D96" s="10" t="s">
        <v>2008</v>
      </c>
      <c r="E96" s="258" t="s">
        <v>1178</v>
      </c>
      <c r="F96" s="258">
        <v>0</v>
      </c>
      <c r="G96" s="258">
        <f>4000+10000</f>
        <v>14000</v>
      </c>
      <c r="H96" s="258"/>
      <c r="I96" s="6">
        <f t="shared" ref="I96" si="2">F96+G96-H96</f>
        <v>14000</v>
      </c>
      <c r="J96" s="259">
        <v>2.75</v>
      </c>
      <c r="K96" s="100">
        <f t="shared" ref="K96:K100" si="3">I96*J96</f>
        <v>38500</v>
      </c>
    </row>
    <row r="97" spans="1:11">
      <c r="A97" s="270"/>
      <c r="B97" s="81" t="s">
        <v>2277</v>
      </c>
      <c r="C97" s="6"/>
      <c r="D97" s="10" t="s">
        <v>2013</v>
      </c>
      <c r="E97" s="6" t="s">
        <v>42</v>
      </c>
      <c r="F97" s="258">
        <v>0</v>
      </c>
      <c r="G97" s="258">
        <v>5000</v>
      </c>
      <c r="H97" s="258"/>
      <c r="I97" s="6">
        <v>5000</v>
      </c>
      <c r="J97" s="259">
        <v>4.55</v>
      </c>
      <c r="K97" s="100">
        <f t="shared" si="3"/>
        <v>22750</v>
      </c>
    </row>
    <row r="98" spans="1:11">
      <c r="A98" s="270"/>
      <c r="B98" s="81" t="s">
        <v>2278</v>
      </c>
      <c r="C98" s="6"/>
      <c r="D98" s="10" t="s">
        <v>2014</v>
      </c>
      <c r="E98" s="6" t="s">
        <v>42</v>
      </c>
      <c r="F98" s="258">
        <v>0</v>
      </c>
      <c r="G98" s="258">
        <v>5000</v>
      </c>
      <c r="H98" s="258"/>
      <c r="I98" s="6">
        <v>5000</v>
      </c>
      <c r="J98" s="259">
        <v>2.85</v>
      </c>
      <c r="K98" s="100">
        <f t="shared" si="3"/>
        <v>14250</v>
      </c>
    </row>
    <row r="99" spans="1:11">
      <c r="A99" s="270"/>
      <c r="B99" s="81" t="s">
        <v>2279</v>
      </c>
      <c r="C99" s="6"/>
      <c r="D99" s="10" t="s">
        <v>2015</v>
      </c>
      <c r="E99" s="6" t="s">
        <v>42</v>
      </c>
      <c r="F99" s="6">
        <v>0</v>
      </c>
      <c r="G99" s="258">
        <v>5000</v>
      </c>
      <c r="H99" s="258"/>
      <c r="I99" s="6">
        <v>5000</v>
      </c>
      <c r="J99" s="259">
        <v>3.25</v>
      </c>
      <c r="K99" s="100">
        <f t="shared" si="3"/>
        <v>16250</v>
      </c>
    </row>
    <row r="100" spans="1:11" ht="15.75" thickBot="1">
      <c r="A100" s="6"/>
      <c r="B100" s="81" t="s">
        <v>2280</v>
      </c>
      <c r="C100" s="8"/>
      <c r="D100" s="37" t="s">
        <v>2024</v>
      </c>
      <c r="E100" s="37" t="s">
        <v>2025</v>
      </c>
      <c r="F100" s="8"/>
      <c r="G100" s="197"/>
      <c r="H100" s="197"/>
      <c r="I100" s="8">
        <v>5000</v>
      </c>
      <c r="J100" s="198">
        <v>0.35</v>
      </c>
      <c r="K100" s="32">
        <f t="shared" si="3"/>
        <v>1750</v>
      </c>
    </row>
    <row r="101" spans="1:11">
      <c r="C101" s="44"/>
      <c r="D101" s="45"/>
      <c r="E101" s="45"/>
      <c r="F101" s="44"/>
      <c r="G101" s="3"/>
      <c r="H101" s="3"/>
      <c r="I101" s="3"/>
      <c r="J101" s="196" t="s">
        <v>635</v>
      </c>
      <c r="K101" s="196">
        <f>SUM(K5:K100)</f>
        <v>373427.95</v>
      </c>
    </row>
    <row r="102" spans="1:11">
      <c r="C102" s="44"/>
      <c r="D102" s="45"/>
      <c r="E102" s="45"/>
      <c r="F102" s="44"/>
      <c r="G102" s="44"/>
      <c r="H102" s="44"/>
      <c r="I102" s="44"/>
      <c r="J102" s="11"/>
      <c r="K102" s="46"/>
    </row>
    <row r="103" spans="1:11">
      <c r="C103" s="44"/>
      <c r="D103" s="45"/>
      <c r="E103" s="45"/>
      <c r="F103" s="44"/>
      <c r="G103" s="44"/>
      <c r="H103" s="44"/>
      <c r="I103" s="44"/>
      <c r="J103" s="11"/>
      <c r="K103" s="46"/>
    </row>
    <row r="104" spans="1:11">
      <c r="C104" s="44"/>
      <c r="D104" s="44"/>
      <c r="E104" s="44"/>
      <c r="F104" s="44"/>
      <c r="G104" s="44"/>
      <c r="H104" s="44"/>
      <c r="I104" s="44"/>
      <c r="J104" s="11"/>
      <c r="K104" s="46"/>
    </row>
    <row r="105" spans="1:11">
      <c r="C105" s="44"/>
      <c r="D105" s="44"/>
      <c r="E105" s="44"/>
      <c r="F105" s="44"/>
      <c r="G105" s="44"/>
      <c r="H105" s="44"/>
      <c r="I105" s="44"/>
      <c r="J105" s="11"/>
      <c r="K105" s="46"/>
    </row>
    <row r="106" spans="1:11">
      <c r="C106" s="44"/>
      <c r="D106" s="44"/>
      <c r="E106" s="44"/>
      <c r="F106" s="44"/>
      <c r="G106" s="44"/>
      <c r="H106" s="44"/>
      <c r="I106" s="44"/>
      <c r="J106" s="11"/>
      <c r="K106" s="46"/>
    </row>
    <row r="107" spans="1:11">
      <c r="C107" s="44"/>
      <c r="D107" s="44"/>
      <c r="E107" s="44"/>
      <c r="F107" s="44"/>
      <c r="G107" s="44"/>
      <c r="H107" s="44"/>
      <c r="I107" s="44"/>
      <c r="J107" s="12"/>
      <c r="K107" s="46"/>
    </row>
    <row r="108" spans="1:11">
      <c r="C108" s="44"/>
      <c r="D108" s="44"/>
      <c r="E108" s="44"/>
      <c r="F108" s="44"/>
      <c r="G108" s="44"/>
      <c r="H108" s="44"/>
      <c r="I108" s="44"/>
      <c r="J108" s="11"/>
      <c r="K108" s="46"/>
    </row>
    <row r="109" spans="1:11">
      <c r="C109" s="44"/>
      <c r="D109" s="44"/>
      <c r="E109" s="44"/>
      <c r="F109" s="44"/>
      <c r="G109" s="44"/>
      <c r="H109" s="44"/>
      <c r="I109" s="44"/>
      <c r="J109" s="11"/>
      <c r="K109" s="46"/>
    </row>
    <row r="110" spans="1:11">
      <c r="C110" s="44"/>
      <c r="D110" s="24"/>
      <c r="E110" s="24"/>
      <c r="F110" s="24"/>
      <c r="G110" s="24"/>
      <c r="H110" s="24"/>
      <c r="I110" s="24"/>
      <c r="J110" s="11"/>
      <c r="K110" s="46"/>
    </row>
    <row r="111" spans="1:11">
      <c r="C111" s="44"/>
      <c r="D111" s="13"/>
      <c r="E111" s="44"/>
      <c r="F111" s="44"/>
      <c r="G111" s="44"/>
      <c r="H111" s="44"/>
      <c r="I111" s="44"/>
      <c r="J111" s="12"/>
      <c r="K111" s="46"/>
    </row>
    <row r="112" spans="1:11">
      <c r="C112" s="44"/>
      <c r="D112" s="44"/>
      <c r="E112" s="44"/>
      <c r="F112" s="44"/>
      <c r="G112" s="44"/>
      <c r="H112" s="44"/>
      <c r="I112" s="44"/>
      <c r="J112" s="11"/>
      <c r="K112" s="46"/>
    </row>
    <row r="113" spans="3:11">
      <c r="C113" s="44"/>
      <c r="D113" s="44"/>
      <c r="E113" s="44"/>
      <c r="F113" s="44"/>
      <c r="G113" s="44"/>
      <c r="H113" s="44"/>
      <c r="I113" s="44"/>
      <c r="J113" s="11"/>
      <c r="K113" s="46"/>
    </row>
    <row r="114" spans="3:11">
      <c r="C114" s="44"/>
      <c r="D114" s="44"/>
      <c r="E114" s="44"/>
      <c r="F114" s="44"/>
      <c r="G114" s="44"/>
      <c r="H114" s="44"/>
      <c r="I114" s="44"/>
      <c r="J114" s="11"/>
      <c r="K114" s="46"/>
    </row>
    <row r="115" spans="3:11">
      <c r="C115" s="44"/>
      <c r="D115" s="44"/>
      <c r="E115" s="44"/>
      <c r="F115" s="44"/>
      <c r="G115" s="44"/>
      <c r="H115" s="44"/>
      <c r="I115" s="44"/>
      <c r="J115" s="11"/>
      <c r="K115" s="46"/>
    </row>
    <row r="116" spans="3:11">
      <c r="C116" s="44"/>
      <c r="D116" s="44"/>
      <c r="E116" s="44"/>
      <c r="F116" s="44"/>
      <c r="G116" s="44"/>
      <c r="H116" s="44"/>
      <c r="I116" s="44"/>
      <c r="J116" s="11"/>
      <c r="K116" s="46"/>
    </row>
    <row r="117" spans="3:11">
      <c r="C117" s="44"/>
      <c r="D117" s="47"/>
      <c r="E117" s="13"/>
      <c r="F117" s="45"/>
      <c r="G117" s="45"/>
      <c r="H117" s="45"/>
      <c r="I117" s="45"/>
      <c r="J117" s="11"/>
      <c r="K117" s="46"/>
    </row>
    <row r="118" spans="3:11">
      <c r="C118" s="44"/>
      <c r="D118" s="48"/>
      <c r="E118" s="44"/>
      <c r="F118" s="45"/>
      <c r="G118" s="45"/>
      <c r="H118" s="45"/>
      <c r="I118" s="45"/>
      <c r="J118" s="11"/>
      <c r="K118" s="46"/>
    </row>
    <row r="119" spans="3:11">
      <c r="C119" s="44"/>
      <c r="D119" s="47"/>
      <c r="E119" s="44"/>
      <c r="F119" s="45"/>
      <c r="G119" s="45"/>
      <c r="H119" s="45"/>
      <c r="I119" s="45"/>
      <c r="J119" s="11"/>
      <c r="K119" s="46"/>
    </row>
    <row r="120" spans="3:11">
      <c r="C120" s="44"/>
      <c r="D120" s="44"/>
      <c r="E120" s="44"/>
      <c r="F120" s="44"/>
      <c r="G120" s="44"/>
      <c r="H120" s="44"/>
      <c r="I120" s="44"/>
      <c r="J120" s="46"/>
      <c r="K120" s="46"/>
    </row>
    <row r="121" spans="3:11">
      <c r="C121" s="44"/>
      <c r="D121" s="44"/>
      <c r="E121" s="44"/>
      <c r="F121" s="44"/>
      <c r="G121" s="44"/>
      <c r="H121" s="44"/>
      <c r="I121" s="44"/>
      <c r="J121" s="46"/>
      <c r="K121" s="46"/>
    </row>
    <row r="122" spans="3:11">
      <c r="C122" s="44"/>
      <c r="D122" s="47"/>
      <c r="E122" s="47"/>
      <c r="F122" s="45"/>
      <c r="G122" s="45"/>
      <c r="H122" s="45"/>
      <c r="I122" s="45"/>
      <c r="J122" s="46"/>
      <c r="K122" s="46"/>
    </row>
    <row r="123" spans="3:11">
      <c r="C123" s="44"/>
      <c r="D123" s="49"/>
      <c r="E123" s="45"/>
      <c r="F123" s="45"/>
      <c r="G123" s="45"/>
      <c r="H123" s="45"/>
      <c r="I123" s="45"/>
      <c r="J123" s="50"/>
      <c r="K123" s="46"/>
    </row>
    <row r="124" spans="3:11">
      <c r="C124" s="44"/>
      <c r="D124" s="44"/>
      <c r="E124" s="44"/>
      <c r="F124" s="44"/>
      <c r="G124" s="44"/>
      <c r="H124" s="44"/>
      <c r="I124" s="44"/>
      <c r="J124" s="46"/>
      <c r="K124" s="46"/>
    </row>
    <row r="125" spans="3:11">
      <c r="C125" s="44"/>
      <c r="D125" s="44"/>
      <c r="E125" s="44"/>
      <c r="F125" s="44"/>
      <c r="G125" s="44"/>
      <c r="H125" s="44"/>
      <c r="I125" s="44"/>
      <c r="J125" s="11"/>
      <c r="K125" s="46"/>
    </row>
    <row r="126" spans="3:11">
      <c r="C126" s="44"/>
      <c r="D126" s="44"/>
      <c r="E126" s="44"/>
      <c r="F126" s="44"/>
      <c r="G126" s="44"/>
      <c r="H126" s="44"/>
      <c r="I126" s="44"/>
      <c r="J126" s="46"/>
      <c r="K126" s="46"/>
    </row>
    <row r="127" spans="3:11">
      <c r="C127" s="44"/>
      <c r="D127" s="44"/>
      <c r="E127" s="44"/>
      <c r="F127" s="44"/>
      <c r="G127" s="44"/>
      <c r="H127" s="44"/>
      <c r="I127" s="44"/>
      <c r="J127" s="46"/>
      <c r="K127" s="46"/>
    </row>
    <row r="128" spans="3:11">
      <c r="C128" s="44"/>
      <c r="D128" s="44"/>
      <c r="E128" s="44"/>
      <c r="F128" s="44"/>
      <c r="G128" s="44"/>
      <c r="H128" s="44"/>
      <c r="I128" s="44"/>
      <c r="J128" s="46"/>
      <c r="K128" s="46"/>
    </row>
    <row r="129" spans="3:11">
      <c r="C129" s="44"/>
      <c r="D129" s="44"/>
      <c r="E129" s="44"/>
      <c r="F129" s="44"/>
      <c r="G129" s="44"/>
      <c r="H129" s="44"/>
      <c r="I129" s="44"/>
      <c r="J129" s="11"/>
      <c r="K129" s="46"/>
    </row>
    <row r="130" spans="3:11">
      <c r="C130" s="44"/>
      <c r="D130" s="44"/>
      <c r="E130" s="44"/>
      <c r="F130" s="44"/>
      <c r="G130" s="44"/>
      <c r="H130" s="44"/>
      <c r="I130" s="44"/>
      <c r="J130" s="11"/>
      <c r="K130" s="46"/>
    </row>
    <row r="131" spans="3:11">
      <c r="C131" s="44"/>
      <c r="D131" s="44"/>
      <c r="E131" s="44"/>
      <c r="F131" s="44"/>
      <c r="G131" s="44"/>
      <c r="H131" s="44"/>
      <c r="I131" s="44"/>
      <c r="J131" s="11"/>
      <c r="K131" s="46"/>
    </row>
    <row r="132" spans="3:11">
      <c r="C132" s="44"/>
      <c r="D132" s="44"/>
      <c r="E132" s="44"/>
      <c r="F132" s="44"/>
      <c r="G132" s="44"/>
      <c r="H132" s="44"/>
      <c r="I132" s="44"/>
      <c r="J132" s="11"/>
      <c r="K132" s="46"/>
    </row>
    <row r="133" spans="3:11">
      <c r="C133" s="44"/>
      <c r="D133" s="44"/>
      <c r="E133" s="44"/>
      <c r="F133" s="44"/>
      <c r="G133" s="44"/>
      <c r="H133" s="44"/>
      <c r="I133" s="44"/>
      <c r="J133" s="11"/>
      <c r="K133" s="46"/>
    </row>
    <row r="134" spans="3:11">
      <c r="C134" s="44"/>
      <c r="D134" s="44"/>
      <c r="E134" s="44"/>
      <c r="F134" s="44"/>
      <c r="G134" s="44"/>
      <c r="H134" s="44"/>
      <c r="I134" s="44"/>
      <c r="J134" s="11"/>
      <c r="K134" s="46"/>
    </row>
    <row r="135" spans="3:11">
      <c r="C135" s="44"/>
      <c r="D135" s="44"/>
      <c r="E135" s="44"/>
      <c r="F135" s="44"/>
      <c r="G135" s="44"/>
      <c r="H135" s="44"/>
      <c r="I135" s="44"/>
      <c r="J135" s="11"/>
      <c r="K135" s="46"/>
    </row>
    <row r="136" spans="3:11">
      <c r="C136" s="44"/>
      <c r="D136" s="44"/>
      <c r="E136" s="44"/>
      <c r="F136" s="44"/>
      <c r="G136" s="44"/>
      <c r="H136" s="44"/>
      <c r="I136" s="44"/>
      <c r="J136" s="11"/>
      <c r="K136" s="46"/>
    </row>
    <row r="137" spans="3:11">
      <c r="C137" s="44"/>
      <c r="D137" s="44"/>
      <c r="E137" s="44"/>
      <c r="F137" s="44"/>
      <c r="G137" s="44"/>
      <c r="H137" s="44"/>
      <c r="I137" s="44"/>
      <c r="J137" s="11"/>
      <c r="K137" s="46"/>
    </row>
    <row r="138" spans="3:11">
      <c r="C138" s="44"/>
      <c r="D138" s="44"/>
      <c r="E138" s="44"/>
      <c r="F138" s="44"/>
      <c r="G138" s="44"/>
      <c r="H138" s="44"/>
      <c r="I138" s="44"/>
      <c r="J138" s="11"/>
      <c r="K138" s="46"/>
    </row>
    <row r="139" spans="3:11">
      <c r="C139" s="44"/>
      <c r="D139" s="44"/>
      <c r="E139" s="44"/>
      <c r="F139" s="44"/>
      <c r="G139" s="44"/>
      <c r="H139" s="44"/>
      <c r="I139" s="44"/>
      <c r="J139" s="11"/>
      <c r="K139" s="46"/>
    </row>
    <row r="140" spans="3:11">
      <c r="C140" s="44"/>
      <c r="D140" s="44"/>
      <c r="E140" s="44"/>
      <c r="F140" s="44"/>
      <c r="G140" s="44"/>
      <c r="H140" s="44"/>
      <c r="I140" s="44"/>
      <c r="J140" s="11"/>
      <c r="K140" s="46"/>
    </row>
    <row r="141" spans="3:11">
      <c r="C141" s="44"/>
      <c r="D141" s="44"/>
      <c r="E141" s="44"/>
      <c r="F141" s="44"/>
      <c r="G141" s="44"/>
      <c r="H141" s="44"/>
      <c r="I141" s="44"/>
      <c r="J141" s="11"/>
      <c r="K141" s="46"/>
    </row>
    <row r="142" spans="3:11">
      <c r="C142" s="44"/>
      <c r="D142" s="44"/>
      <c r="E142" s="44"/>
      <c r="F142" s="44"/>
      <c r="G142" s="44"/>
      <c r="H142" s="44"/>
      <c r="I142" s="44"/>
      <c r="J142" s="11"/>
      <c r="K142" s="46"/>
    </row>
    <row r="143" spans="3:11">
      <c r="C143" s="44"/>
      <c r="D143" s="44"/>
      <c r="E143" s="44"/>
      <c r="F143" s="44"/>
      <c r="G143" s="44"/>
      <c r="H143" s="44"/>
      <c r="I143" s="44"/>
      <c r="J143" s="11"/>
      <c r="K143" s="46"/>
    </row>
  </sheetData>
  <mergeCells count="1">
    <mergeCell ref="A2:K2"/>
  </mergeCells>
  <pageMargins left="0.7" right="0.7" top="0.75" bottom="0.75" header="0.3" footer="0.3"/>
  <pageSetup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2:K11"/>
  <sheetViews>
    <sheetView workbookViewId="0">
      <selection activeCell="A6" sqref="A6:K9"/>
    </sheetView>
  </sheetViews>
  <sheetFormatPr defaultRowHeight="15"/>
  <cols>
    <col min="1" max="1" width="19.7109375" bestFit="1" customWidth="1"/>
    <col min="2" max="2" width="13.85546875" bestFit="1" customWidth="1"/>
    <col min="4" max="5" width="20.42578125" bestFit="1" customWidth="1"/>
    <col min="10" max="10" width="10.85546875" bestFit="1" customWidth="1"/>
    <col min="11" max="11" width="9.42578125" bestFit="1" customWidth="1"/>
  </cols>
  <sheetData>
    <row r="2" spans="1:11" ht="15.75" thickBot="1"/>
    <row r="3" spans="1:11" ht="15.75" thickBot="1">
      <c r="A3" s="321" t="s">
        <v>616</v>
      </c>
      <c r="B3" s="322"/>
      <c r="C3" s="322"/>
      <c r="D3" s="322"/>
      <c r="E3" s="322"/>
      <c r="F3" s="322"/>
      <c r="G3" s="322"/>
      <c r="H3" s="322"/>
      <c r="I3" s="322"/>
      <c r="J3" s="322"/>
      <c r="K3" s="323"/>
    </row>
    <row r="4" spans="1:11" ht="15.75" thickBot="1"/>
    <row r="5" spans="1:11" ht="15.75" thickBot="1">
      <c r="A5" s="38" t="s">
        <v>349</v>
      </c>
      <c r="B5" s="36" t="s">
        <v>150</v>
      </c>
      <c r="C5" s="33" t="s">
        <v>0</v>
      </c>
      <c r="D5" s="33" t="s">
        <v>1</v>
      </c>
      <c r="E5" s="33" t="s">
        <v>2</v>
      </c>
      <c r="F5" s="33" t="s">
        <v>3</v>
      </c>
      <c r="G5" s="33" t="s">
        <v>1298</v>
      </c>
      <c r="H5" s="33" t="s">
        <v>1297</v>
      </c>
      <c r="I5" s="33" t="s">
        <v>1296</v>
      </c>
      <c r="J5" s="34" t="s">
        <v>131</v>
      </c>
      <c r="K5" s="35" t="s">
        <v>136</v>
      </c>
    </row>
    <row r="6" spans="1:11">
      <c r="A6" s="167" t="s">
        <v>372</v>
      </c>
      <c r="B6" s="82" t="s">
        <v>334</v>
      </c>
      <c r="C6" s="6">
        <v>1</v>
      </c>
      <c r="D6" s="6" t="s">
        <v>43</v>
      </c>
      <c r="E6" s="6" t="s">
        <v>44</v>
      </c>
      <c r="F6" s="6">
        <v>0</v>
      </c>
      <c r="G6" s="6"/>
      <c r="H6" s="6"/>
      <c r="I6" s="6">
        <f>F6+G6-H6</f>
        <v>0</v>
      </c>
      <c r="J6" s="29">
        <v>10</v>
      </c>
      <c r="K6" s="100">
        <f>I6*J6</f>
        <v>0</v>
      </c>
    </row>
    <row r="7" spans="1:11">
      <c r="A7" s="260" t="s">
        <v>373</v>
      </c>
      <c r="B7" s="255" t="s">
        <v>335</v>
      </c>
      <c r="C7" s="205">
        <v>2</v>
      </c>
      <c r="D7" s="205" t="s">
        <v>45</v>
      </c>
      <c r="E7" s="205" t="s">
        <v>45</v>
      </c>
      <c r="F7" s="205">
        <v>0</v>
      </c>
      <c r="G7" s="205"/>
      <c r="H7" s="205"/>
      <c r="I7" s="6">
        <f t="shared" ref="I7:I9" si="0">F7+G7-H7</f>
        <v>0</v>
      </c>
      <c r="J7" s="122">
        <v>30</v>
      </c>
      <c r="K7" s="100">
        <f t="shared" ref="K7:K9" si="1">I7*J7</f>
        <v>0</v>
      </c>
    </row>
    <row r="8" spans="1:11">
      <c r="A8" s="261" t="s">
        <v>1142</v>
      </c>
      <c r="B8" s="261" t="s">
        <v>1141</v>
      </c>
      <c r="C8" s="205">
        <v>3</v>
      </c>
      <c r="D8" s="138" t="s">
        <v>1140</v>
      </c>
      <c r="E8" s="205" t="s">
        <v>44</v>
      </c>
      <c r="F8" s="205">
        <v>0</v>
      </c>
      <c r="G8" s="205"/>
      <c r="H8" s="205"/>
      <c r="I8" s="6">
        <f t="shared" si="0"/>
        <v>0</v>
      </c>
      <c r="J8" s="122">
        <v>0</v>
      </c>
      <c r="K8" s="100">
        <f t="shared" si="1"/>
        <v>0</v>
      </c>
    </row>
    <row r="9" spans="1:11" s="15" customFormat="1">
      <c r="A9" s="81"/>
      <c r="B9" s="81"/>
      <c r="C9" s="6">
        <v>4</v>
      </c>
      <c r="D9" s="139" t="s">
        <v>1399</v>
      </c>
      <c r="E9" s="6" t="s">
        <v>44</v>
      </c>
      <c r="F9" s="6">
        <v>0</v>
      </c>
      <c r="G9" s="10">
        <f>10+32</f>
        <v>42</v>
      </c>
      <c r="H9" s="6"/>
      <c r="I9" s="6">
        <f t="shared" si="0"/>
        <v>42</v>
      </c>
      <c r="J9" s="29">
        <v>5</v>
      </c>
      <c r="K9" s="100">
        <f t="shared" si="1"/>
        <v>210</v>
      </c>
    </row>
    <row r="10" spans="1:11" ht="15.75" thickBot="1">
      <c r="A10" s="14"/>
      <c r="B10" s="14"/>
      <c r="C10" s="44">
        <v>5</v>
      </c>
      <c r="D10" s="44"/>
      <c r="E10" s="44"/>
      <c r="F10" s="44"/>
      <c r="G10" s="44"/>
      <c r="H10" s="44"/>
      <c r="I10" s="44"/>
      <c r="J10" s="104"/>
      <c r="K10" s="95"/>
    </row>
    <row r="11" spans="1:11" ht="15.75" thickBot="1">
      <c r="J11" s="57" t="s">
        <v>146</v>
      </c>
      <c r="K11" s="58">
        <f>SUM(K6:K10)</f>
        <v>210</v>
      </c>
    </row>
  </sheetData>
  <mergeCells count="1">
    <mergeCell ref="A3:K3"/>
  </mergeCells>
  <pageMargins left="0.7" right="0.7" top="0.75" bottom="0.75" header="0.3" footer="0.3"/>
  <pageSetup scale="8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2:M36"/>
  <sheetViews>
    <sheetView topLeftCell="A6" workbookViewId="0">
      <selection activeCell="C21" sqref="C21"/>
    </sheetView>
  </sheetViews>
  <sheetFormatPr defaultRowHeight="15"/>
  <cols>
    <col min="1" max="1" width="19.7109375" bestFit="1" customWidth="1"/>
    <col min="2" max="2" width="13.85546875" bestFit="1" customWidth="1"/>
    <col min="3" max="3" width="9.140625" style="87"/>
    <col min="4" max="4" width="40.28515625" customWidth="1"/>
    <col min="5" max="5" width="12.7109375" bestFit="1" customWidth="1"/>
    <col min="6" max="6" width="8.5703125" bestFit="1" customWidth="1"/>
    <col min="7" max="9" width="8.5703125" customWidth="1"/>
    <col min="10" max="10" width="12.140625" customWidth="1"/>
    <col min="11" max="11" width="10.140625" customWidth="1"/>
  </cols>
  <sheetData>
    <row r="2" spans="1:13" ht="15.75" thickBot="1"/>
    <row r="3" spans="1:13" ht="15.75" thickBot="1">
      <c r="A3" s="321" t="s">
        <v>617</v>
      </c>
      <c r="B3" s="322"/>
      <c r="C3" s="322"/>
      <c r="D3" s="322"/>
      <c r="E3" s="322"/>
      <c r="F3" s="322"/>
      <c r="G3" s="322"/>
      <c r="H3" s="322"/>
      <c r="I3" s="322"/>
      <c r="J3" s="322"/>
      <c r="K3" s="323"/>
    </row>
    <row r="4" spans="1:13" ht="15.75" thickBot="1"/>
    <row r="5" spans="1:13" ht="15.75" thickBot="1">
      <c r="A5" s="38" t="s">
        <v>349</v>
      </c>
      <c r="B5" s="39" t="s">
        <v>150</v>
      </c>
      <c r="C5" s="1" t="s">
        <v>0</v>
      </c>
      <c r="D5" s="1" t="s">
        <v>1</v>
      </c>
      <c r="E5" s="1" t="s">
        <v>2</v>
      </c>
      <c r="F5" s="133" t="s">
        <v>3</v>
      </c>
      <c r="G5" s="89" t="s">
        <v>1298</v>
      </c>
      <c r="H5" s="89" t="s">
        <v>1297</v>
      </c>
      <c r="I5" s="89" t="s">
        <v>1296</v>
      </c>
      <c r="J5" s="88" t="s">
        <v>131</v>
      </c>
      <c r="K5" s="89" t="s">
        <v>136</v>
      </c>
      <c r="M5" s="87"/>
    </row>
    <row r="6" spans="1:13" ht="15.75" thickBot="1">
      <c r="A6" s="25" t="s">
        <v>371</v>
      </c>
      <c r="B6" s="42" t="s">
        <v>294</v>
      </c>
      <c r="C6" s="43">
        <v>1</v>
      </c>
      <c r="D6" s="137" t="s">
        <v>55</v>
      </c>
      <c r="E6" s="43" t="s">
        <v>56</v>
      </c>
      <c r="F6" s="134"/>
      <c r="G6" s="5"/>
      <c r="H6" s="5"/>
      <c r="I6" s="5">
        <f>F6+G6-H6</f>
        <v>0</v>
      </c>
      <c r="J6" s="22">
        <v>1.32</v>
      </c>
      <c r="K6" s="90">
        <f>I6*J6</f>
        <v>0</v>
      </c>
    </row>
    <row r="7" spans="1:13" ht="15.75" thickBot="1">
      <c r="A7" s="81" t="s">
        <v>884</v>
      </c>
      <c r="B7" s="81" t="s">
        <v>882</v>
      </c>
      <c r="C7" s="43">
        <v>2</v>
      </c>
      <c r="D7" s="201" t="s">
        <v>1192</v>
      </c>
      <c r="E7" s="6" t="s">
        <v>56</v>
      </c>
      <c r="F7" s="202">
        <v>11000</v>
      </c>
      <c r="G7" s="10"/>
      <c r="H7" s="10">
        <f>20+20+800+2806+20+50+5+15+1000+4000+15</f>
        <v>8751</v>
      </c>
      <c r="I7" s="6">
        <f t="shared" ref="I7:I28" si="0">F7+G7-H7</f>
        <v>2249</v>
      </c>
      <c r="J7" s="29">
        <v>0.91</v>
      </c>
      <c r="K7" s="203">
        <f t="shared" ref="K7:K18" si="1">I7*J7</f>
        <v>2046.5900000000001</v>
      </c>
    </row>
    <row r="8" spans="1:13" ht="15.75" thickBot="1">
      <c r="A8" s="167" t="s">
        <v>1028</v>
      </c>
      <c r="B8" s="81" t="s">
        <v>883</v>
      </c>
      <c r="C8" s="43">
        <v>3</v>
      </c>
      <c r="D8" s="204" t="s">
        <v>1191</v>
      </c>
      <c r="E8" s="205" t="s">
        <v>56</v>
      </c>
      <c r="F8" s="182">
        <f>520+150</f>
        <v>670</v>
      </c>
      <c r="G8" s="10"/>
      <c r="H8" s="10">
        <f>400+161</f>
        <v>561</v>
      </c>
      <c r="I8" s="6">
        <f t="shared" si="0"/>
        <v>109</v>
      </c>
      <c r="J8" s="50">
        <v>7.5</v>
      </c>
      <c r="K8" s="203">
        <f t="shared" si="1"/>
        <v>817.5</v>
      </c>
    </row>
    <row r="9" spans="1:13" ht="15.75" thickBot="1">
      <c r="A9" s="167" t="s">
        <v>992</v>
      </c>
      <c r="B9" s="206" t="s">
        <v>993</v>
      </c>
      <c r="C9" s="43">
        <v>4</v>
      </c>
      <c r="D9" s="201" t="s">
        <v>994</v>
      </c>
      <c r="E9" s="6" t="s">
        <v>56</v>
      </c>
      <c r="F9" s="202"/>
      <c r="G9" s="10"/>
      <c r="H9" s="10"/>
      <c r="I9" s="6">
        <f t="shared" si="0"/>
        <v>0</v>
      </c>
      <c r="J9" s="29">
        <v>2.75</v>
      </c>
      <c r="K9" s="203">
        <f t="shared" si="1"/>
        <v>0</v>
      </c>
    </row>
    <row r="10" spans="1:13" ht="15.75" thickBot="1">
      <c r="A10" s="81" t="s">
        <v>1143</v>
      </c>
      <c r="B10" s="206" t="s">
        <v>1059</v>
      </c>
      <c r="C10" s="43">
        <v>5</v>
      </c>
      <c r="D10" s="201" t="s">
        <v>1060</v>
      </c>
      <c r="E10" s="6" t="s">
        <v>56</v>
      </c>
      <c r="F10" s="202"/>
      <c r="G10" s="10"/>
      <c r="H10" s="10"/>
      <c r="I10" s="6">
        <f t="shared" si="0"/>
        <v>0</v>
      </c>
      <c r="J10" s="29">
        <v>7.5</v>
      </c>
      <c r="K10" s="203">
        <f t="shared" si="1"/>
        <v>0</v>
      </c>
    </row>
    <row r="11" spans="1:13" ht="15.75" thickBot="1">
      <c r="A11" s="167" t="s">
        <v>1144</v>
      </c>
      <c r="B11" s="206" t="s">
        <v>1074</v>
      </c>
      <c r="C11" s="43">
        <v>6</v>
      </c>
      <c r="D11" s="201" t="s">
        <v>1075</v>
      </c>
      <c r="E11" s="10" t="s">
        <v>1076</v>
      </c>
      <c r="F11" s="202"/>
      <c r="G11" s="10"/>
      <c r="H11" s="10"/>
      <c r="I11" s="6">
        <f t="shared" si="0"/>
        <v>0</v>
      </c>
      <c r="J11" s="29">
        <v>25</v>
      </c>
      <c r="K11" s="203">
        <f t="shared" si="1"/>
        <v>0</v>
      </c>
    </row>
    <row r="12" spans="1:13" ht="15.75" thickBot="1">
      <c r="A12" s="167" t="s">
        <v>1145</v>
      </c>
      <c r="B12" s="206" t="s">
        <v>1135</v>
      </c>
      <c r="C12" s="43">
        <v>7</v>
      </c>
      <c r="D12" s="201" t="s">
        <v>1188</v>
      </c>
      <c r="E12" s="10" t="s">
        <v>1076</v>
      </c>
      <c r="F12" s="202">
        <v>140</v>
      </c>
      <c r="G12" s="10"/>
      <c r="H12" s="10"/>
      <c r="I12" s="6">
        <f t="shared" si="0"/>
        <v>140</v>
      </c>
      <c r="J12" s="29">
        <v>12</v>
      </c>
      <c r="K12" s="203">
        <f t="shared" si="1"/>
        <v>1680</v>
      </c>
    </row>
    <row r="13" spans="1:13" ht="15.75" thickBot="1">
      <c r="A13" s="81" t="s">
        <v>1146</v>
      </c>
      <c r="B13" s="206" t="s">
        <v>1136</v>
      </c>
      <c r="C13" s="43">
        <v>8</v>
      </c>
      <c r="D13" s="201" t="s">
        <v>1394</v>
      </c>
      <c r="E13" s="10" t="s">
        <v>1076</v>
      </c>
      <c r="F13" s="202">
        <v>0</v>
      </c>
      <c r="G13" s="10">
        <f>1560+2000</f>
        <v>3560</v>
      </c>
      <c r="H13" s="10"/>
      <c r="I13" s="6">
        <f t="shared" si="0"/>
        <v>3560</v>
      </c>
      <c r="J13" s="29">
        <v>16</v>
      </c>
      <c r="K13" s="203">
        <f t="shared" si="1"/>
        <v>56960</v>
      </c>
    </row>
    <row r="14" spans="1:13" ht="15.75" thickBot="1">
      <c r="A14" s="81"/>
      <c r="B14" s="81" t="s">
        <v>1325</v>
      </c>
      <c r="C14" s="43">
        <v>9</v>
      </c>
      <c r="D14" s="201" t="s">
        <v>1187</v>
      </c>
      <c r="E14" s="10" t="s">
        <v>1076</v>
      </c>
      <c r="F14" s="202">
        <v>360</v>
      </c>
      <c r="G14" s="10"/>
      <c r="H14" s="10"/>
      <c r="I14" s="6">
        <f t="shared" si="0"/>
        <v>360</v>
      </c>
      <c r="J14" s="29">
        <v>12</v>
      </c>
      <c r="K14" s="203">
        <f t="shared" si="1"/>
        <v>4320</v>
      </c>
    </row>
    <row r="15" spans="1:13" ht="15.75" thickBot="1">
      <c r="A15" s="81"/>
      <c r="B15" s="81" t="s">
        <v>1326</v>
      </c>
      <c r="C15" s="43">
        <v>10</v>
      </c>
      <c r="D15" s="81" t="s">
        <v>1189</v>
      </c>
      <c r="E15" s="10" t="s">
        <v>1076</v>
      </c>
      <c r="F15" s="202">
        <v>650</v>
      </c>
      <c r="G15" s="10"/>
      <c r="H15" s="10"/>
      <c r="I15" s="6">
        <f t="shared" si="0"/>
        <v>650</v>
      </c>
      <c r="J15" s="29">
        <v>10</v>
      </c>
      <c r="K15" s="203">
        <f t="shared" si="1"/>
        <v>6500</v>
      </c>
    </row>
    <row r="16" spans="1:13" ht="15.75" thickBot="1">
      <c r="A16" s="81"/>
      <c r="B16" s="81" t="s">
        <v>1327</v>
      </c>
      <c r="C16" s="43">
        <v>11</v>
      </c>
      <c r="D16" s="81" t="s">
        <v>1190</v>
      </c>
      <c r="E16" s="81" t="s">
        <v>1076</v>
      </c>
      <c r="F16" s="202">
        <f>81+81</f>
        <v>162</v>
      </c>
      <c r="G16" s="10"/>
      <c r="H16" s="10"/>
      <c r="I16" s="6">
        <f t="shared" si="0"/>
        <v>162</v>
      </c>
      <c r="J16" s="29">
        <v>10</v>
      </c>
      <c r="K16" s="203">
        <f t="shared" si="1"/>
        <v>1620</v>
      </c>
    </row>
    <row r="17" spans="1:11" ht="15.75" thickBot="1">
      <c r="A17" s="81"/>
      <c r="B17" s="81" t="s">
        <v>1328</v>
      </c>
      <c r="C17" s="43">
        <v>12</v>
      </c>
      <c r="D17" s="81" t="s">
        <v>1215</v>
      </c>
      <c r="E17" s="81" t="s">
        <v>56</v>
      </c>
      <c r="F17" s="202">
        <v>10</v>
      </c>
      <c r="G17" s="10"/>
      <c r="H17" s="10"/>
      <c r="I17" s="6">
        <f t="shared" si="0"/>
        <v>10</v>
      </c>
      <c r="J17" s="29">
        <v>20</v>
      </c>
      <c r="K17" s="203">
        <f t="shared" si="1"/>
        <v>200</v>
      </c>
    </row>
    <row r="18" spans="1:11" ht="15.75" thickBot="1">
      <c r="A18" s="81"/>
      <c r="B18" s="81" t="s">
        <v>1329</v>
      </c>
      <c r="C18" s="43">
        <v>13</v>
      </c>
      <c r="D18" s="81" t="s">
        <v>1222</v>
      </c>
      <c r="E18" s="81" t="s">
        <v>56</v>
      </c>
      <c r="F18" s="202">
        <v>5</v>
      </c>
      <c r="G18" s="10"/>
      <c r="H18" s="10"/>
      <c r="I18" s="6">
        <f t="shared" si="0"/>
        <v>5</v>
      </c>
      <c r="J18" s="29">
        <v>20</v>
      </c>
      <c r="K18" s="203">
        <f t="shared" si="1"/>
        <v>100</v>
      </c>
    </row>
    <row r="19" spans="1:11" ht="15.75" thickBot="1">
      <c r="A19" s="81"/>
      <c r="B19" s="81" t="s">
        <v>1330</v>
      </c>
      <c r="C19" s="43">
        <v>14</v>
      </c>
      <c r="D19" s="81" t="s">
        <v>1332</v>
      </c>
      <c r="E19" s="81" t="s">
        <v>56</v>
      </c>
      <c r="F19" s="206"/>
      <c r="G19" s="81">
        <v>1443</v>
      </c>
      <c r="H19" s="81">
        <f>1400</f>
        <v>1400</v>
      </c>
      <c r="I19" s="6">
        <f>F19+G19-H19</f>
        <v>43</v>
      </c>
      <c r="J19" s="29">
        <v>7.5</v>
      </c>
      <c r="K19" s="203">
        <f>I19*J19</f>
        <v>322.5</v>
      </c>
    </row>
    <row r="20" spans="1:11" ht="15.75" thickBot="1">
      <c r="A20" s="207"/>
      <c r="B20" s="81" t="s">
        <v>1345</v>
      </c>
      <c r="C20" s="43">
        <v>15</v>
      </c>
      <c r="D20" s="209" t="s">
        <v>1369</v>
      </c>
      <c r="E20" s="10" t="s">
        <v>1076</v>
      </c>
      <c r="F20" s="206">
        <v>0</v>
      </c>
      <c r="G20" s="81">
        <f>500+500</f>
        <v>1000</v>
      </c>
      <c r="H20" s="81">
        <f>500+6</f>
        <v>506</v>
      </c>
      <c r="I20" s="6">
        <f>F20+G20-H20</f>
        <v>494</v>
      </c>
      <c r="J20" s="29">
        <v>12</v>
      </c>
      <c r="K20" s="203">
        <f>I20*J20</f>
        <v>5928</v>
      </c>
    </row>
    <row r="21" spans="1:11" ht="15.75" thickBot="1">
      <c r="A21" s="81"/>
      <c r="B21" s="81" t="s">
        <v>2043</v>
      </c>
      <c r="C21" s="43">
        <v>16</v>
      </c>
      <c r="D21" s="155" t="s">
        <v>2020</v>
      </c>
      <c r="E21" s="10" t="s">
        <v>1076</v>
      </c>
      <c r="F21" s="208">
        <v>0</v>
      </c>
      <c r="G21" s="6">
        <f>1000+1000</f>
        <v>2000</v>
      </c>
      <c r="H21" s="6"/>
      <c r="I21" s="6">
        <f t="shared" ref="I21" si="2">F21+G21-H21</f>
        <v>2000</v>
      </c>
      <c r="J21" s="29">
        <v>9</v>
      </c>
      <c r="K21" s="203">
        <f>I21*J21</f>
        <v>18000</v>
      </c>
    </row>
    <row r="22" spans="1:11" ht="15.75" thickBot="1">
      <c r="A22" s="81"/>
      <c r="B22" s="81" t="s">
        <v>1371</v>
      </c>
      <c r="C22" s="43">
        <v>17</v>
      </c>
      <c r="D22" s="6" t="s">
        <v>2173</v>
      </c>
      <c r="E22" s="10" t="s">
        <v>1076</v>
      </c>
      <c r="F22" s="208"/>
      <c r="G22" s="6"/>
      <c r="H22" s="6"/>
      <c r="I22" s="6"/>
      <c r="J22" s="29"/>
      <c r="K22" s="203"/>
    </row>
    <row r="23" spans="1:11" ht="15.75" thickBot="1">
      <c r="A23" s="81"/>
      <c r="B23" s="81" t="s">
        <v>2043</v>
      </c>
      <c r="C23" s="43">
        <v>18</v>
      </c>
      <c r="D23" s="6" t="s">
        <v>2174</v>
      </c>
      <c r="E23" s="10" t="s">
        <v>1076</v>
      </c>
      <c r="F23" s="208"/>
      <c r="G23" s="6"/>
      <c r="H23" s="6"/>
      <c r="I23" s="6"/>
      <c r="J23" s="29"/>
      <c r="K23" s="203"/>
    </row>
    <row r="24" spans="1:11" ht="15.75" thickBot="1">
      <c r="A24" s="81"/>
      <c r="B24" s="81" t="s">
        <v>2044</v>
      </c>
      <c r="C24" s="43">
        <v>19</v>
      </c>
      <c r="D24" s="6" t="s">
        <v>2175</v>
      </c>
      <c r="E24" s="10" t="s">
        <v>1076</v>
      </c>
      <c r="F24" s="208"/>
      <c r="G24" s="6"/>
      <c r="H24" s="6"/>
      <c r="I24" s="6"/>
      <c r="J24" s="29"/>
      <c r="K24" s="203"/>
    </row>
    <row r="25" spans="1:11" ht="15.75" thickBot="1">
      <c r="A25" s="81"/>
      <c r="B25" s="81" t="s">
        <v>2045</v>
      </c>
      <c r="C25" s="43">
        <v>20</v>
      </c>
      <c r="D25" s="183" t="s">
        <v>2176</v>
      </c>
      <c r="E25" s="10" t="s">
        <v>1076</v>
      </c>
      <c r="F25" s="208"/>
      <c r="G25" s="6"/>
      <c r="H25" s="6"/>
      <c r="I25" s="6"/>
      <c r="J25" s="29"/>
      <c r="K25" s="203"/>
    </row>
    <row r="26" spans="1:11" ht="15.75" thickBot="1">
      <c r="A26" s="81"/>
      <c r="B26" s="81" t="s">
        <v>2046</v>
      </c>
      <c r="C26" s="43">
        <v>21</v>
      </c>
      <c r="D26" s="183" t="s">
        <v>2177</v>
      </c>
      <c r="E26" s="10" t="s">
        <v>1076</v>
      </c>
      <c r="F26" s="208"/>
      <c r="G26" s="6"/>
      <c r="H26" s="6"/>
      <c r="I26" s="6"/>
      <c r="J26" s="29"/>
      <c r="K26" s="203"/>
    </row>
    <row r="27" spans="1:11" ht="15.75" thickBot="1">
      <c r="A27" s="81"/>
      <c r="B27" s="81" t="s">
        <v>2047</v>
      </c>
      <c r="C27" s="43">
        <v>22</v>
      </c>
      <c r="D27" s="10" t="s">
        <v>2178</v>
      </c>
      <c r="E27" s="10" t="s">
        <v>1076</v>
      </c>
      <c r="F27" s="208"/>
      <c r="G27" s="6"/>
      <c r="H27" s="6"/>
      <c r="I27" s="6"/>
      <c r="J27" s="29"/>
      <c r="K27" s="203"/>
    </row>
    <row r="28" spans="1:11" ht="15.75" thickBot="1">
      <c r="A28" s="207"/>
      <c r="B28" s="81" t="s">
        <v>2172</v>
      </c>
      <c r="C28" s="43">
        <v>23</v>
      </c>
      <c r="D28" s="209" t="s">
        <v>2018</v>
      </c>
      <c r="E28" s="10" t="s">
        <v>2019</v>
      </c>
      <c r="F28" s="202">
        <v>0</v>
      </c>
      <c r="G28" s="10">
        <f>1000+2000+4500</f>
        <v>7500</v>
      </c>
      <c r="H28" s="6"/>
      <c r="I28" s="6">
        <f t="shared" si="0"/>
        <v>7500</v>
      </c>
      <c r="J28" s="29">
        <v>5</v>
      </c>
      <c r="K28" s="203">
        <v>5000</v>
      </c>
    </row>
    <row r="29" spans="1:11" ht="15.75" thickBot="1">
      <c r="A29" s="207"/>
      <c r="B29" s="81" t="s">
        <v>2179</v>
      </c>
      <c r="C29" s="43">
        <v>24</v>
      </c>
      <c r="D29" s="10" t="s">
        <v>2180</v>
      </c>
      <c r="E29" s="10" t="s">
        <v>1076</v>
      </c>
      <c r="F29" s="202"/>
      <c r="G29" s="10"/>
      <c r="H29" s="6"/>
      <c r="I29" s="6"/>
      <c r="J29" s="29"/>
      <c r="K29" s="203"/>
    </row>
    <row r="30" spans="1:11" ht="15.75" thickBot="1">
      <c r="A30" s="207"/>
      <c r="B30" s="81" t="s">
        <v>2181</v>
      </c>
      <c r="C30" s="43">
        <v>25</v>
      </c>
      <c r="D30" s="10" t="s">
        <v>2182</v>
      </c>
      <c r="E30" s="6" t="s">
        <v>56</v>
      </c>
      <c r="F30" s="202"/>
      <c r="G30" s="10"/>
      <c r="H30" s="6"/>
      <c r="I30" s="6"/>
      <c r="J30" s="29"/>
      <c r="K30" s="203"/>
    </row>
    <row r="31" spans="1:11" ht="15.75" thickBot="1">
      <c r="A31" s="207"/>
      <c r="B31" s="81" t="s">
        <v>2183</v>
      </c>
      <c r="C31" s="43">
        <v>26</v>
      </c>
      <c r="D31" s="183" t="s">
        <v>2184</v>
      </c>
      <c r="E31" s="10" t="s">
        <v>1076</v>
      </c>
      <c r="F31" s="202"/>
      <c r="G31" s="10"/>
      <c r="H31" s="6"/>
      <c r="I31" s="6"/>
      <c r="J31" s="29"/>
      <c r="K31" s="203"/>
    </row>
    <row r="32" spans="1:11" ht="15.75" thickBot="1">
      <c r="A32" s="81"/>
      <c r="B32" s="81"/>
      <c r="C32" s="43">
        <v>27</v>
      </c>
      <c r="D32" s="81" t="s">
        <v>1331</v>
      </c>
      <c r="E32" s="81" t="s">
        <v>56</v>
      </c>
      <c r="F32" s="206"/>
      <c r="G32" s="81">
        <v>1050</v>
      </c>
      <c r="H32" s="81"/>
      <c r="I32" s="6">
        <f>F32+G32-H32</f>
        <v>1050</v>
      </c>
      <c r="J32" s="29">
        <v>7.5</v>
      </c>
      <c r="K32" s="203">
        <f>I32*J32</f>
        <v>7875</v>
      </c>
    </row>
    <row r="33" spans="1:11" ht="15.75" thickBot="1">
      <c r="A33" s="207"/>
      <c r="B33" s="81"/>
      <c r="C33" s="43">
        <v>28</v>
      </c>
      <c r="D33" s="209" t="s">
        <v>1369</v>
      </c>
      <c r="E33" s="10"/>
      <c r="F33" s="10"/>
      <c r="G33" s="10"/>
      <c r="H33" s="6">
        <f>E33+F33-G33</f>
        <v>0</v>
      </c>
      <c r="I33" s="6">
        <f>F33+G33-H33</f>
        <v>0</v>
      </c>
      <c r="J33" s="29">
        <v>2.75</v>
      </c>
      <c r="K33" s="203"/>
    </row>
    <row r="34" spans="1:11" ht="15.75" thickBot="1">
      <c r="A34" s="207"/>
      <c r="B34" s="81"/>
      <c r="C34" s="43">
        <v>29</v>
      </c>
      <c r="D34" s="210" t="s">
        <v>2003</v>
      </c>
      <c r="E34" s="10" t="s">
        <v>1076</v>
      </c>
      <c r="F34" s="10"/>
      <c r="G34" s="10">
        <f>1000+1000</f>
        <v>2000</v>
      </c>
      <c r="H34" s="6"/>
      <c r="I34" s="6">
        <f>F34+G34-H34</f>
        <v>2000</v>
      </c>
      <c r="J34" s="29">
        <v>16</v>
      </c>
      <c r="K34" s="203">
        <f>I34*J34</f>
        <v>32000</v>
      </c>
    </row>
    <row r="35" spans="1:11" ht="15.75" thickBot="1">
      <c r="A35" s="207"/>
      <c r="B35" s="81"/>
      <c r="C35" s="43">
        <v>30</v>
      </c>
      <c r="D35" s="209" t="s">
        <v>2004</v>
      </c>
      <c r="E35" s="10" t="s">
        <v>1076</v>
      </c>
      <c r="F35" s="202">
        <v>0</v>
      </c>
      <c r="G35" s="10">
        <v>2000</v>
      </c>
      <c r="H35" s="6"/>
      <c r="I35" s="6">
        <f>F35+G35-H35</f>
        <v>2000</v>
      </c>
      <c r="J35" s="29">
        <v>12</v>
      </c>
      <c r="K35" s="203">
        <f>I35*J35</f>
        <v>24000</v>
      </c>
    </row>
    <row r="36" spans="1:11">
      <c r="A36" s="84"/>
      <c r="B36" s="84"/>
      <c r="C36" s="106"/>
      <c r="D36" s="85"/>
      <c r="E36" s="86"/>
      <c r="F36" s="84"/>
      <c r="G36" s="84"/>
      <c r="H36" s="84"/>
      <c r="I36" s="84"/>
      <c r="J36" s="84" t="s">
        <v>146</v>
      </c>
      <c r="K36" s="121">
        <f>SUM(K6:K28)</f>
        <v>103494.59</v>
      </c>
    </row>
  </sheetData>
  <mergeCells count="1">
    <mergeCell ref="A3:K3"/>
  </mergeCells>
  <pageMargins left="0.7" right="0.7" top="0.75" bottom="0.75" header="0.3" footer="0.3"/>
  <pageSetup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3:L17"/>
  <sheetViews>
    <sheetView workbookViewId="0">
      <selection activeCell="D13" sqref="D13:D16"/>
    </sheetView>
  </sheetViews>
  <sheetFormatPr defaultRowHeight="15"/>
  <cols>
    <col min="1" max="1" width="19.7109375" bestFit="1" customWidth="1"/>
    <col min="2" max="2" width="13.85546875" bestFit="1" customWidth="1"/>
    <col min="3" max="3" width="5.7109375" bestFit="1" customWidth="1"/>
    <col min="4" max="4" width="18.28515625" bestFit="1" customWidth="1"/>
    <col min="5" max="5" width="12.7109375" bestFit="1" customWidth="1"/>
    <col min="10" max="10" width="10.85546875" bestFit="1" customWidth="1"/>
    <col min="11" max="11" width="9.85546875" customWidth="1"/>
    <col min="12" max="12" width="19.85546875" bestFit="1" customWidth="1"/>
  </cols>
  <sheetData>
    <row r="3" spans="1:12" ht="15.75" thickBot="1"/>
    <row r="4" spans="1:12" ht="15.75" thickBot="1">
      <c r="A4" s="321" t="s">
        <v>618</v>
      </c>
      <c r="B4" s="322"/>
      <c r="C4" s="322"/>
      <c r="D4" s="322"/>
      <c r="E4" s="322"/>
      <c r="F4" s="322"/>
      <c r="G4" s="322"/>
      <c r="H4" s="322"/>
      <c r="I4" s="322"/>
      <c r="J4" s="322"/>
      <c r="K4" s="323"/>
    </row>
    <row r="5" spans="1:12" ht="15.75" thickBot="1"/>
    <row r="6" spans="1:12" ht="15.75" thickBot="1">
      <c r="A6" s="38" t="s">
        <v>349</v>
      </c>
      <c r="B6" s="41" t="s">
        <v>150</v>
      </c>
      <c r="C6" s="1" t="s">
        <v>0</v>
      </c>
      <c r="D6" s="1" t="s">
        <v>1</v>
      </c>
      <c r="E6" s="1" t="s">
        <v>2</v>
      </c>
      <c r="F6" s="126" t="s">
        <v>3</v>
      </c>
      <c r="G6" s="126" t="s">
        <v>1298</v>
      </c>
      <c r="H6" s="126" t="s">
        <v>1297</v>
      </c>
      <c r="I6" s="126" t="s">
        <v>1296</v>
      </c>
      <c r="J6" s="127" t="s">
        <v>131</v>
      </c>
      <c r="K6" s="128" t="s">
        <v>136</v>
      </c>
      <c r="L6" s="144" t="s">
        <v>1420</v>
      </c>
    </row>
    <row r="7" spans="1:12">
      <c r="A7" s="264" t="s">
        <v>367</v>
      </c>
      <c r="B7" s="265" t="s">
        <v>259</v>
      </c>
      <c r="C7" s="159">
        <v>1</v>
      </c>
      <c r="D7" s="159" t="s">
        <v>81</v>
      </c>
      <c r="E7" s="159" t="s">
        <v>82</v>
      </c>
      <c r="F7" s="6"/>
      <c r="G7" s="6"/>
      <c r="H7" s="6"/>
      <c r="I7" s="6">
        <f>F7+G7-H7</f>
        <v>0</v>
      </c>
      <c r="J7" s="136">
        <v>15</v>
      </c>
      <c r="K7" s="136">
        <f>I7*J7</f>
        <v>0</v>
      </c>
    </row>
    <row r="8" spans="1:12">
      <c r="A8" s="266" t="s">
        <v>368</v>
      </c>
      <c r="B8" s="170" t="s">
        <v>260</v>
      </c>
      <c r="C8" s="6">
        <v>2</v>
      </c>
      <c r="D8" s="6" t="s">
        <v>83</v>
      </c>
      <c r="E8" s="6" t="s">
        <v>82</v>
      </c>
      <c r="F8" s="6"/>
      <c r="G8" s="6"/>
      <c r="H8" s="6"/>
      <c r="I8" s="6">
        <f t="shared" ref="I8:I13" si="0">F8+G8-H8</f>
        <v>0</v>
      </c>
      <c r="J8" s="136">
        <v>17.399999999999999</v>
      </c>
      <c r="K8" s="136">
        <f t="shared" ref="K8:K13" si="1">I8*J8</f>
        <v>0</v>
      </c>
    </row>
    <row r="9" spans="1:12">
      <c r="A9" s="266" t="s">
        <v>369</v>
      </c>
      <c r="B9" s="170" t="s">
        <v>261</v>
      </c>
      <c r="C9" s="6">
        <v>3</v>
      </c>
      <c r="D9" s="6" t="s">
        <v>84</v>
      </c>
      <c r="E9" s="6" t="s">
        <v>82</v>
      </c>
      <c r="F9" s="6"/>
      <c r="G9" s="6"/>
      <c r="H9" s="6"/>
      <c r="I9" s="6">
        <f t="shared" si="0"/>
        <v>0</v>
      </c>
      <c r="J9" s="136">
        <v>5.52</v>
      </c>
      <c r="K9" s="136">
        <f t="shared" si="1"/>
        <v>0</v>
      </c>
    </row>
    <row r="10" spans="1:12">
      <c r="A10" s="266" t="s">
        <v>370</v>
      </c>
      <c r="B10" s="170" t="s">
        <v>356</v>
      </c>
      <c r="C10" s="6">
        <v>4</v>
      </c>
      <c r="D10" s="6" t="s">
        <v>2167</v>
      </c>
      <c r="E10" s="6" t="s">
        <v>82</v>
      </c>
      <c r="F10" s="6">
        <v>2409</v>
      </c>
      <c r="G10" s="6">
        <f>250+5000+6973+4000+23000</f>
        <v>39223</v>
      </c>
      <c r="H10" s="6">
        <f>10+12+702+65+1000+8+5</f>
        <v>1802</v>
      </c>
      <c r="I10" s="6">
        <f t="shared" si="0"/>
        <v>39830</v>
      </c>
      <c r="J10" s="136">
        <v>11.15</v>
      </c>
      <c r="K10" s="136">
        <f t="shared" si="1"/>
        <v>444104.5</v>
      </c>
    </row>
    <row r="11" spans="1:12" ht="15.75" thickBot="1">
      <c r="A11" s="267" t="s">
        <v>626</v>
      </c>
      <c r="B11" s="268" t="s">
        <v>627</v>
      </c>
      <c r="C11" s="249">
        <v>5</v>
      </c>
      <c r="D11" s="249" t="s">
        <v>628</v>
      </c>
      <c r="E11" s="249" t="s">
        <v>82</v>
      </c>
      <c r="F11" s="6">
        <f>36000+96+30+131+1875+1950</f>
        <v>40082</v>
      </c>
      <c r="G11" s="6"/>
      <c r="H11" s="6">
        <f>400+2000</f>
        <v>2400</v>
      </c>
      <c r="I11" s="6">
        <f t="shared" si="0"/>
        <v>37682</v>
      </c>
      <c r="J11" s="136">
        <v>12</v>
      </c>
      <c r="K11" s="136">
        <f>I11*J11</f>
        <v>452184</v>
      </c>
      <c r="L11">
        <v>37725</v>
      </c>
    </row>
    <row r="12" spans="1:12">
      <c r="A12" s="269" t="s">
        <v>1010</v>
      </c>
      <c r="B12" s="269" t="s">
        <v>1008</v>
      </c>
      <c r="C12" s="205">
        <v>6</v>
      </c>
      <c r="D12" s="24" t="s">
        <v>1009</v>
      </c>
      <c r="E12" s="205" t="s">
        <v>82</v>
      </c>
      <c r="F12" s="6"/>
      <c r="G12" s="6"/>
      <c r="H12" s="6"/>
      <c r="I12" s="6">
        <f t="shared" si="0"/>
        <v>0</v>
      </c>
      <c r="J12" s="136">
        <v>28</v>
      </c>
      <c r="K12" s="136">
        <f t="shared" si="1"/>
        <v>0</v>
      </c>
    </row>
    <row r="13" spans="1:12">
      <c r="A13" s="170"/>
      <c r="B13" s="170" t="s">
        <v>1035</v>
      </c>
      <c r="C13" s="6">
        <v>7</v>
      </c>
      <c r="D13" s="6" t="s">
        <v>1034</v>
      </c>
      <c r="E13" s="6" t="s">
        <v>82</v>
      </c>
      <c r="F13" s="6"/>
      <c r="G13" s="6"/>
      <c r="H13" s="6"/>
      <c r="I13" s="6">
        <f t="shared" si="0"/>
        <v>0</v>
      </c>
      <c r="J13" s="136"/>
      <c r="K13" s="136">
        <f t="shared" si="1"/>
        <v>0</v>
      </c>
    </row>
    <row r="14" spans="1:12">
      <c r="A14" s="170"/>
      <c r="B14" s="170" t="s">
        <v>2026</v>
      </c>
      <c r="C14" s="6">
        <v>8</v>
      </c>
      <c r="D14" s="270" t="s">
        <v>2171</v>
      </c>
      <c r="E14" s="159" t="s">
        <v>82</v>
      </c>
      <c r="F14" s="6"/>
      <c r="G14" s="6"/>
      <c r="H14" s="6"/>
      <c r="I14" s="6"/>
      <c r="J14" s="271"/>
      <c r="K14" s="271"/>
    </row>
    <row r="15" spans="1:12" ht="15.75" thickBot="1">
      <c r="A15" s="170"/>
      <c r="B15" s="268" t="s">
        <v>2168</v>
      </c>
      <c r="C15" s="249">
        <v>9</v>
      </c>
      <c r="D15" s="270" t="s">
        <v>2169</v>
      </c>
      <c r="E15" s="159" t="s">
        <v>82</v>
      </c>
      <c r="F15" s="6"/>
      <c r="G15" s="6"/>
      <c r="H15" s="6"/>
      <c r="I15" s="6"/>
      <c r="J15" s="271"/>
      <c r="K15" s="271"/>
    </row>
    <row r="16" spans="1:12" ht="15.75" thickBot="1">
      <c r="A16" s="170"/>
      <c r="B16" s="268" t="s">
        <v>2170</v>
      </c>
      <c r="C16" s="6">
        <v>8</v>
      </c>
      <c r="D16" s="6" t="s">
        <v>1203</v>
      </c>
      <c r="E16" s="6" t="s">
        <v>82</v>
      </c>
      <c r="F16" s="6">
        <v>9</v>
      </c>
      <c r="G16" s="6"/>
      <c r="H16" s="6">
        <v>7</v>
      </c>
      <c r="I16" s="6">
        <f t="shared" ref="I16" si="2">F16+G16-H16</f>
        <v>2</v>
      </c>
      <c r="J16" s="271">
        <v>38</v>
      </c>
      <c r="K16" s="271">
        <f t="shared" ref="K16" si="3">I16*J16</f>
        <v>76</v>
      </c>
    </row>
    <row r="17" spans="10:11" ht="15.75" thickBot="1">
      <c r="J17" s="57" t="s">
        <v>146</v>
      </c>
      <c r="K17" s="58">
        <f>SUM(K7:K15)</f>
        <v>896288.5</v>
      </c>
    </row>
  </sheetData>
  <mergeCells count="1">
    <mergeCell ref="A4:K4"/>
  </mergeCells>
  <pageMargins left="0.7" right="0.7" top="0.75" bottom="0.75" header="0.3" footer="0.3"/>
  <pageSetup scale="8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L87"/>
  <sheetViews>
    <sheetView workbookViewId="0">
      <selection activeCell="D18" sqref="D18"/>
    </sheetView>
  </sheetViews>
  <sheetFormatPr defaultRowHeight="15"/>
  <cols>
    <col min="1" max="1" width="19.7109375" bestFit="1" customWidth="1"/>
    <col min="2" max="2" width="12.42578125" customWidth="1"/>
    <col min="3" max="3" width="7.42578125" customWidth="1"/>
    <col min="4" max="4" width="38.42578125" customWidth="1"/>
    <col min="5" max="5" width="12.7109375" bestFit="1" customWidth="1"/>
    <col min="6" max="9" width="0" hidden="1" customWidth="1"/>
    <col min="10" max="10" width="10.140625" style="176" bestFit="1" customWidth="1"/>
    <col min="11" max="11" width="10.85546875" bestFit="1" customWidth="1"/>
    <col min="12" max="12" width="10.42578125" bestFit="1" customWidth="1"/>
  </cols>
  <sheetData>
    <row r="1" spans="1:12">
      <c r="D1" s="87" t="s">
        <v>1880</v>
      </c>
    </row>
    <row r="2" spans="1:12" ht="15.75" thickBot="1">
      <c r="D2" s="87" t="s">
        <v>1881</v>
      </c>
    </row>
    <row r="3" spans="1:12" ht="16.5" thickBot="1">
      <c r="A3" s="318" t="s">
        <v>1524</v>
      </c>
      <c r="B3" s="319"/>
      <c r="C3" s="319"/>
      <c r="D3" s="319"/>
      <c r="E3" s="319"/>
      <c r="F3" s="319"/>
      <c r="G3" s="319"/>
      <c r="H3" s="319"/>
      <c r="I3" s="319"/>
      <c r="J3" s="324"/>
      <c r="K3" s="319"/>
      <c r="L3" s="320"/>
    </row>
    <row r="4" spans="1:12">
      <c r="A4" s="132"/>
      <c r="B4" s="54"/>
      <c r="C4" s="54"/>
      <c r="D4" s="54"/>
      <c r="E4" s="54"/>
      <c r="F4" s="158"/>
      <c r="G4" s="14"/>
      <c r="H4" s="14"/>
      <c r="I4" s="14"/>
      <c r="J4" s="177" t="s">
        <v>1882</v>
      </c>
    </row>
    <row r="5" spans="1:12">
      <c r="A5" s="94" t="s">
        <v>349</v>
      </c>
      <c r="B5" s="94" t="s">
        <v>150</v>
      </c>
      <c r="C5" s="89" t="s">
        <v>0</v>
      </c>
      <c r="D5" s="89" t="s">
        <v>1</v>
      </c>
      <c r="E5" s="89" t="s">
        <v>2</v>
      </c>
      <c r="F5" s="89" t="s">
        <v>3</v>
      </c>
      <c r="G5" s="89" t="s">
        <v>1879</v>
      </c>
      <c r="H5" s="89" t="s">
        <v>1298</v>
      </c>
      <c r="I5" s="89" t="s">
        <v>1297</v>
      </c>
      <c r="J5" s="178" t="s">
        <v>1296</v>
      </c>
      <c r="K5" s="89" t="s">
        <v>131</v>
      </c>
      <c r="L5" s="89" t="s">
        <v>136</v>
      </c>
    </row>
    <row r="6" spans="1:12">
      <c r="A6" s="81" t="s">
        <v>1525</v>
      </c>
      <c r="B6" s="81" t="s">
        <v>1526</v>
      </c>
      <c r="C6" s="6">
        <v>1</v>
      </c>
      <c r="D6" s="10" t="s">
        <v>1527</v>
      </c>
      <c r="E6" s="6" t="s">
        <v>1522</v>
      </c>
      <c r="F6" s="6">
        <v>188</v>
      </c>
      <c r="G6" s="6">
        <v>188</v>
      </c>
      <c r="H6" s="6"/>
      <c r="I6" s="6"/>
      <c r="J6" s="6">
        <f>G6+H6-I6</f>
        <v>188</v>
      </c>
      <c r="K6" s="29">
        <v>80</v>
      </c>
      <c r="L6" s="29">
        <f>J6*K6</f>
        <v>15040</v>
      </c>
    </row>
    <row r="7" spans="1:12">
      <c r="A7" s="81" t="s">
        <v>1528</v>
      </c>
      <c r="B7" s="81" t="s">
        <v>1529</v>
      </c>
      <c r="C7" s="6">
        <v>2</v>
      </c>
      <c r="D7" s="10" t="s">
        <v>1530</v>
      </c>
      <c r="E7" s="6" t="s">
        <v>1522</v>
      </c>
      <c r="F7" s="6">
        <v>0</v>
      </c>
      <c r="G7" s="6"/>
      <c r="H7" s="6"/>
      <c r="I7" s="6"/>
      <c r="J7" s="6">
        <f t="shared" ref="J7:J70" si="0">G7+H7-I7</f>
        <v>0</v>
      </c>
      <c r="K7" s="29">
        <v>70</v>
      </c>
      <c r="L7" s="29">
        <f t="shared" ref="L7:L70" si="1">J7*K7</f>
        <v>0</v>
      </c>
    </row>
    <row r="8" spans="1:12">
      <c r="A8" s="81" t="s">
        <v>1531</v>
      </c>
      <c r="B8" s="81" t="s">
        <v>1532</v>
      </c>
      <c r="C8" s="6">
        <v>3</v>
      </c>
      <c r="D8" s="10" t="s">
        <v>1533</v>
      </c>
      <c r="E8" s="6" t="s">
        <v>1522</v>
      </c>
      <c r="F8" s="6">
        <v>0</v>
      </c>
      <c r="G8" s="6"/>
      <c r="H8" s="6"/>
      <c r="I8" s="6"/>
      <c r="J8" s="6">
        <f t="shared" si="0"/>
        <v>0</v>
      </c>
      <c r="K8" s="29">
        <v>180</v>
      </c>
      <c r="L8" s="29">
        <f t="shared" si="1"/>
        <v>0</v>
      </c>
    </row>
    <row r="9" spans="1:12">
      <c r="A9" s="81" t="s">
        <v>1534</v>
      </c>
      <c r="B9" s="81" t="s">
        <v>1535</v>
      </c>
      <c r="C9" s="6">
        <v>4</v>
      </c>
      <c r="D9" s="10" t="s">
        <v>1536</v>
      </c>
      <c r="E9" s="6" t="s">
        <v>1522</v>
      </c>
      <c r="F9" s="6">
        <v>1450</v>
      </c>
      <c r="G9" s="6">
        <v>1450</v>
      </c>
      <c r="H9" s="6"/>
      <c r="I9" s="6"/>
      <c r="J9" s="6">
        <f t="shared" si="0"/>
        <v>1450</v>
      </c>
      <c r="K9" s="29">
        <v>105</v>
      </c>
      <c r="L9" s="29">
        <f t="shared" si="1"/>
        <v>152250</v>
      </c>
    </row>
    <row r="10" spans="1:12">
      <c r="A10" s="81" t="s">
        <v>1537</v>
      </c>
      <c r="B10" s="81" t="s">
        <v>1538</v>
      </c>
      <c r="C10" s="6">
        <v>5</v>
      </c>
      <c r="D10" s="10" t="s">
        <v>1539</v>
      </c>
      <c r="E10" s="6" t="s">
        <v>1522</v>
      </c>
      <c r="F10" s="10">
        <v>932</v>
      </c>
      <c r="G10" s="10">
        <v>730</v>
      </c>
      <c r="H10" s="10"/>
      <c r="I10" s="10">
        <v>100</v>
      </c>
      <c r="J10" s="6">
        <f t="shared" si="0"/>
        <v>630</v>
      </c>
      <c r="K10" s="29">
        <v>110</v>
      </c>
      <c r="L10" s="29">
        <f t="shared" si="1"/>
        <v>69300</v>
      </c>
    </row>
    <row r="11" spans="1:12">
      <c r="A11" s="81" t="s">
        <v>1540</v>
      </c>
      <c r="B11" s="81" t="s">
        <v>1541</v>
      </c>
      <c r="C11" s="6">
        <v>6</v>
      </c>
      <c r="D11" s="10" t="s">
        <v>1542</v>
      </c>
      <c r="E11" s="6" t="s">
        <v>1522</v>
      </c>
      <c r="F11" s="6">
        <v>0</v>
      </c>
      <c r="G11" s="6"/>
      <c r="H11" s="6"/>
      <c r="I11" s="6"/>
      <c r="J11" s="6">
        <f t="shared" si="0"/>
        <v>0</v>
      </c>
      <c r="K11" s="29">
        <v>300</v>
      </c>
      <c r="L11" s="29">
        <f t="shared" si="1"/>
        <v>0</v>
      </c>
    </row>
    <row r="12" spans="1:12">
      <c r="A12" s="81" t="s">
        <v>1543</v>
      </c>
      <c r="B12" s="81" t="s">
        <v>1544</v>
      </c>
      <c r="C12" s="6">
        <v>7</v>
      </c>
      <c r="D12" s="10" t="s">
        <v>1545</v>
      </c>
      <c r="E12" s="6" t="s">
        <v>1522</v>
      </c>
      <c r="F12" s="6">
        <v>0</v>
      </c>
      <c r="G12" s="6"/>
      <c r="H12" s="6"/>
      <c r="I12" s="6"/>
      <c r="J12" s="6">
        <f t="shared" si="0"/>
        <v>0</v>
      </c>
      <c r="K12" s="29">
        <v>60</v>
      </c>
      <c r="L12" s="29">
        <f t="shared" si="1"/>
        <v>0</v>
      </c>
    </row>
    <row r="13" spans="1:12">
      <c r="A13" s="81" t="s">
        <v>1546</v>
      </c>
      <c r="B13" s="81" t="s">
        <v>1547</v>
      </c>
      <c r="C13" s="6">
        <v>8</v>
      </c>
      <c r="D13" s="10" t="s">
        <v>1548</v>
      </c>
      <c r="E13" s="6" t="s">
        <v>1522</v>
      </c>
      <c r="F13" s="6">
        <v>0</v>
      </c>
      <c r="G13" s="6"/>
      <c r="H13" s="6"/>
      <c r="I13" s="6"/>
      <c r="J13" s="6">
        <f t="shared" si="0"/>
        <v>0</v>
      </c>
      <c r="K13" s="29">
        <v>300</v>
      </c>
      <c r="L13" s="29">
        <f>J13*K13</f>
        <v>0</v>
      </c>
    </row>
    <row r="14" spans="1:12">
      <c r="A14" s="81" t="s">
        <v>1549</v>
      </c>
      <c r="B14" s="81" t="s">
        <v>1550</v>
      </c>
      <c r="C14" s="6">
        <v>9</v>
      </c>
      <c r="D14" s="10" t="s">
        <v>1551</v>
      </c>
      <c r="E14" s="6" t="s">
        <v>1522</v>
      </c>
      <c r="F14" s="6">
        <v>102</v>
      </c>
      <c r="G14" s="6">
        <v>112</v>
      </c>
      <c r="H14" s="6"/>
      <c r="I14" s="6"/>
      <c r="J14" s="6">
        <f t="shared" si="0"/>
        <v>112</v>
      </c>
      <c r="K14" s="29">
        <v>60</v>
      </c>
      <c r="L14" s="29">
        <f t="shared" si="1"/>
        <v>6720</v>
      </c>
    </row>
    <row r="15" spans="1:12">
      <c r="A15" s="81" t="s">
        <v>1552</v>
      </c>
      <c r="B15" s="81" t="s">
        <v>1553</v>
      </c>
      <c r="C15" s="6">
        <v>10</v>
      </c>
      <c r="D15" s="10" t="s">
        <v>1554</v>
      </c>
      <c r="E15" s="6" t="s">
        <v>1522</v>
      </c>
      <c r="F15" s="6">
        <v>0</v>
      </c>
      <c r="G15" s="6">
        <v>193</v>
      </c>
      <c r="H15" s="6"/>
      <c r="I15" s="6"/>
      <c r="J15" s="6">
        <f t="shared" si="0"/>
        <v>193</v>
      </c>
      <c r="K15" s="29">
        <v>300</v>
      </c>
      <c r="L15" s="29">
        <f t="shared" si="1"/>
        <v>57900</v>
      </c>
    </row>
    <row r="16" spans="1:12">
      <c r="A16" s="81" t="s">
        <v>1555</v>
      </c>
      <c r="B16" s="81" t="s">
        <v>1556</v>
      </c>
      <c r="C16" s="6">
        <v>11</v>
      </c>
      <c r="D16" s="10" t="s">
        <v>1557</v>
      </c>
      <c r="E16" s="6" t="s">
        <v>1522</v>
      </c>
      <c r="F16" s="6">
        <v>5030</v>
      </c>
      <c r="G16" s="6">
        <v>3846</v>
      </c>
      <c r="H16" s="6"/>
      <c r="I16" s="6">
        <f>6+100+5+1+2+10+20</f>
        <v>144</v>
      </c>
      <c r="J16" s="6">
        <v>0</v>
      </c>
      <c r="K16" s="29">
        <v>55</v>
      </c>
      <c r="L16" s="29">
        <f t="shared" si="1"/>
        <v>0</v>
      </c>
    </row>
    <row r="17" spans="1:12">
      <c r="A17" s="81" t="s">
        <v>1558</v>
      </c>
      <c r="B17" s="81" t="s">
        <v>1559</v>
      </c>
      <c r="C17" s="6">
        <v>12</v>
      </c>
      <c r="D17" s="10" t="s">
        <v>1560</v>
      </c>
      <c r="E17" s="6" t="s">
        <v>1522</v>
      </c>
      <c r="F17" s="6">
        <v>5</v>
      </c>
      <c r="G17" s="6">
        <v>680</v>
      </c>
      <c r="H17" s="6"/>
      <c r="I17" s="6">
        <v>0</v>
      </c>
      <c r="J17" s="6">
        <v>0</v>
      </c>
      <c r="K17" s="29">
        <v>114</v>
      </c>
      <c r="L17" s="29">
        <f t="shared" si="1"/>
        <v>0</v>
      </c>
    </row>
    <row r="18" spans="1:12">
      <c r="A18" s="81" t="s">
        <v>1561</v>
      </c>
      <c r="B18" s="81" t="s">
        <v>1562</v>
      </c>
      <c r="C18" s="6">
        <v>13</v>
      </c>
      <c r="D18" s="10" t="s">
        <v>1563</v>
      </c>
      <c r="E18" s="6" t="s">
        <v>1522</v>
      </c>
      <c r="F18" s="6">
        <v>3</v>
      </c>
      <c r="G18" s="6"/>
      <c r="H18" s="6">
        <v>50</v>
      </c>
      <c r="I18" s="6">
        <v>50</v>
      </c>
      <c r="J18" s="6">
        <f t="shared" si="0"/>
        <v>0</v>
      </c>
      <c r="K18" s="29">
        <v>74</v>
      </c>
      <c r="L18" s="29">
        <f t="shared" si="1"/>
        <v>0</v>
      </c>
    </row>
    <row r="19" spans="1:12">
      <c r="A19" s="81" t="s">
        <v>1564</v>
      </c>
      <c r="B19" s="81" t="s">
        <v>1565</v>
      </c>
      <c r="C19" s="6">
        <v>14</v>
      </c>
      <c r="D19" s="10" t="s">
        <v>1566</v>
      </c>
      <c r="E19" s="6" t="s">
        <v>1522</v>
      </c>
      <c r="F19" s="6">
        <v>0</v>
      </c>
      <c r="G19" s="6">
        <v>13</v>
      </c>
      <c r="H19" s="6"/>
      <c r="I19" s="6"/>
      <c r="J19" s="6">
        <f t="shared" si="0"/>
        <v>13</v>
      </c>
      <c r="K19" s="29">
        <v>445</v>
      </c>
      <c r="L19" s="29">
        <f t="shared" si="1"/>
        <v>5785</v>
      </c>
    </row>
    <row r="20" spans="1:12">
      <c r="A20" s="81" t="s">
        <v>1567</v>
      </c>
      <c r="B20" s="81" t="s">
        <v>1568</v>
      </c>
      <c r="C20" s="6">
        <v>15</v>
      </c>
      <c r="D20" s="10" t="s">
        <v>1569</v>
      </c>
      <c r="E20" s="6" t="s">
        <v>1522</v>
      </c>
      <c r="F20" s="6">
        <v>0</v>
      </c>
      <c r="G20" s="6"/>
      <c r="H20" s="6"/>
      <c r="I20" s="6"/>
      <c r="J20" s="6">
        <f t="shared" si="0"/>
        <v>0</v>
      </c>
      <c r="K20" s="29">
        <v>300</v>
      </c>
      <c r="L20" s="29">
        <f t="shared" si="1"/>
        <v>0</v>
      </c>
    </row>
    <row r="21" spans="1:12">
      <c r="A21" s="81" t="s">
        <v>1570</v>
      </c>
      <c r="B21" s="81" t="s">
        <v>1571</v>
      </c>
      <c r="C21" s="6">
        <v>16</v>
      </c>
      <c r="D21" s="10" t="s">
        <v>1572</v>
      </c>
      <c r="E21" s="6" t="s">
        <v>1522</v>
      </c>
      <c r="F21" s="6">
        <v>0</v>
      </c>
      <c r="G21" s="6"/>
      <c r="H21" s="6"/>
      <c r="I21" s="6"/>
      <c r="J21" s="6">
        <f t="shared" si="0"/>
        <v>0</v>
      </c>
      <c r="K21" s="29">
        <v>55</v>
      </c>
      <c r="L21" s="29">
        <f t="shared" si="1"/>
        <v>0</v>
      </c>
    </row>
    <row r="22" spans="1:12">
      <c r="A22" s="81" t="s">
        <v>1573</v>
      </c>
      <c r="B22" s="81" t="s">
        <v>1574</v>
      </c>
      <c r="C22" s="6">
        <v>17</v>
      </c>
      <c r="D22" s="10" t="s">
        <v>1575</v>
      </c>
      <c r="E22" s="6" t="s">
        <v>1522</v>
      </c>
      <c r="F22" s="6">
        <v>0</v>
      </c>
      <c r="G22" s="6">
        <v>139</v>
      </c>
      <c r="H22" s="6"/>
      <c r="I22" s="6"/>
      <c r="J22" s="6">
        <f t="shared" si="0"/>
        <v>139</v>
      </c>
      <c r="K22" s="29">
        <v>350</v>
      </c>
      <c r="L22" s="29">
        <f t="shared" si="1"/>
        <v>48650</v>
      </c>
    </row>
    <row r="23" spans="1:12">
      <c r="A23" s="81" t="s">
        <v>1576</v>
      </c>
      <c r="B23" s="81" t="s">
        <v>1577</v>
      </c>
      <c r="C23" s="6">
        <v>18</v>
      </c>
      <c r="D23" s="10" t="s">
        <v>1578</v>
      </c>
      <c r="E23" s="6" t="s">
        <v>1522</v>
      </c>
      <c r="F23" s="6">
        <v>1900</v>
      </c>
      <c r="G23" s="6">
        <v>299</v>
      </c>
      <c r="H23" s="6"/>
      <c r="I23" s="6"/>
      <c r="J23" s="6">
        <v>0</v>
      </c>
      <c r="K23" s="29">
        <v>128</v>
      </c>
      <c r="L23" s="29">
        <f t="shared" si="1"/>
        <v>0</v>
      </c>
    </row>
    <row r="24" spans="1:12">
      <c r="A24" s="81" t="s">
        <v>1579</v>
      </c>
      <c r="B24" s="81" t="s">
        <v>1580</v>
      </c>
      <c r="C24" s="6">
        <v>19</v>
      </c>
      <c r="D24" s="10" t="s">
        <v>1581</v>
      </c>
      <c r="E24" s="6" t="s">
        <v>1522</v>
      </c>
      <c r="F24" s="6">
        <v>200</v>
      </c>
      <c r="G24" s="6"/>
      <c r="H24" s="6"/>
      <c r="I24" s="6"/>
      <c r="J24" s="6">
        <v>150</v>
      </c>
      <c r="K24" s="29">
        <v>105</v>
      </c>
      <c r="L24" s="29">
        <f t="shared" si="1"/>
        <v>15750</v>
      </c>
    </row>
    <row r="25" spans="1:12">
      <c r="A25" s="81" t="s">
        <v>1582</v>
      </c>
      <c r="B25" s="81" t="s">
        <v>1583</v>
      </c>
      <c r="C25" s="6">
        <v>20</v>
      </c>
      <c r="D25" s="10" t="s">
        <v>1584</v>
      </c>
      <c r="E25" s="6" t="s">
        <v>1522</v>
      </c>
      <c r="F25" s="6">
        <v>15</v>
      </c>
      <c r="G25" s="6">
        <v>190</v>
      </c>
      <c r="H25" s="6"/>
      <c r="I25" s="6"/>
      <c r="J25" s="6">
        <f t="shared" si="0"/>
        <v>190</v>
      </c>
      <c r="K25" s="29">
        <v>90</v>
      </c>
      <c r="L25" s="29">
        <f t="shared" si="1"/>
        <v>17100</v>
      </c>
    </row>
    <row r="26" spans="1:12">
      <c r="A26" s="81" t="s">
        <v>1585</v>
      </c>
      <c r="B26" s="81" t="s">
        <v>1586</v>
      </c>
      <c r="C26" s="6">
        <v>21</v>
      </c>
      <c r="D26" s="10" t="s">
        <v>1587</v>
      </c>
      <c r="E26" s="6" t="s">
        <v>1522</v>
      </c>
      <c r="F26" s="6">
        <v>56</v>
      </c>
      <c r="G26" s="6"/>
      <c r="H26" s="6">
        <f>100+50+182</f>
        <v>332</v>
      </c>
      <c r="I26" s="6">
        <f>100+50+100</f>
        <v>250</v>
      </c>
      <c r="J26" s="6">
        <v>0</v>
      </c>
      <c r="K26" s="29">
        <v>105</v>
      </c>
      <c r="L26" s="29">
        <f t="shared" si="1"/>
        <v>0</v>
      </c>
    </row>
    <row r="27" spans="1:12">
      <c r="A27" s="81" t="s">
        <v>1588</v>
      </c>
      <c r="B27" s="81" t="s">
        <v>1589</v>
      </c>
      <c r="C27" s="6">
        <v>22</v>
      </c>
      <c r="D27" s="10" t="s">
        <v>1590</v>
      </c>
      <c r="E27" s="6" t="s">
        <v>1522</v>
      </c>
      <c r="F27" s="6">
        <v>23</v>
      </c>
      <c r="G27" s="6"/>
      <c r="H27" s="6"/>
      <c r="I27" s="6"/>
      <c r="J27" s="6">
        <f t="shared" si="0"/>
        <v>0</v>
      </c>
      <c r="K27" s="29">
        <v>75</v>
      </c>
      <c r="L27" s="29">
        <f t="shared" si="1"/>
        <v>0</v>
      </c>
    </row>
    <row r="28" spans="1:12">
      <c r="A28" s="81" t="s">
        <v>1591</v>
      </c>
      <c r="B28" s="81" t="s">
        <v>1592</v>
      </c>
      <c r="C28" s="6">
        <v>23</v>
      </c>
      <c r="D28" s="6" t="s">
        <v>1593</v>
      </c>
      <c r="E28" s="6" t="s">
        <v>1522</v>
      </c>
      <c r="F28" s="6">
        <v>59</v>
      </c>
      <c r="G28" s="6"/>
      <c r="H28" s="6"/>
      <c r="I28" s="6"/>
      <c r="J28" s="6">
        <f t="shared" si="0"/>
        <v>0</v>
      </c>
      <c r="K28" s="29">
        <v>80</v>
      </c>
      <c r="L28" s="29">
        <f t="shared" si="1"/>
        <v>0</v>
      </c>
    </row>
    <row r="29" spans="1:12">
      <c r="A29" s="81" t="s">
        <v>1594</v>
      </c>
      <c r="B29" s="81" t="s">
        <v>1595</v>
      </c>
      <c r="C29" s="6">
        <v>24</v>
      </c>
      <c r="D29" s="6" t="s">
        <v>1596</v>
      </c>
      <c r="E29" s="6" t="s">
        <v>1522</v>
      </c>
      <c r="F29" s="6">
        <v>140</v>
      </c>
      <c r="G29" s="6"/>
      <c r="H29" s="6"/>
      <c r="I29" s="6"/>
      <c r="J29" s="6">
        <f t="shared" si="0"/>
        <v>0</v>
      </c>
      <c r="K29" s="29">
        <v>80</v>
      </c>
      <c r="L29" s="29">
        <f t="shared" si="1"/>
        <v>0</v>
      </c>
    </row>
    <row r="30" spans="1:12">
      <c r="A30" s="81" t="s">
        <v>1597</v>
      </c>
      <c r="B30" s="81" t="s">
        <v>1598</v>
      </c>
      <c r="C30" s="6">
        <v>25</v>
      </c>
      <c r="D30" s="6" t="s">
        <v>1599</v>
      </c>
      <c r="E30" s="6" t="s">
        <v>1522</v>
      </c>
      <c r="F30" s="6">
        <v>100</v>
      </c>
      <c r="G30" s="6"/>
      <c r="H30" s="6"/>
      <c r="I30" s="6"/>
      <c r="J30" s="6">
        <f t="shared" si="0"/>
        <v>0</v>
      </c>
      <c r="K30" s="29">
        <v>75</v>
      </c>
      <c r="L30" s="29">
        <f t="shared" si="1"/>
        <v>0</v>
      </c>
    </row>
    <row r="31" spans="1:12">
      <c r="A31" s="81" t="s">
        <v>1600</v>
      </c>
      <c r="B31" s="81" t="s">
        <v>1601</v>
      </c>
      <c r="C31" s="6">
        <v>26</v>
      </c>
      <c r="D31" s="6" t="s">
        <v>1602</v>
      </c>
      <c r="E31" s="6" t="s">
        <v>1522</v>
      </c>
      <c r="F31" s="6">
        <v>150</v>
      </c>
      <c r="G31" s="6"/>
      <c r="H31" s="6"/>
      <c r="I31" s="6"/>
      <c r="J31" s="6">
        <f t="shared" si="0"/>
        <v>0</v>
      </c>
      <c r="K31" s="29">
        <v>35</v>
      </c>
      <c r="L31" s="29">
        <f t="shared" si="1"/>
        <v>0</v>
      </c>
    </row>
    <row r="32" spans="1:12">
      <c r="A32" s="81" t="s">
        <v>1603</v>
      </c>
      <c r="B32" s="81" t="s">
        <v>1604</v>
      </c>
      <c r="C32" s="6">
        <v>27</v>
      </c>
      <c r="D32" s="6" t="s">
        <v>41</v>
      </c>
      <c r="E32" s="6" t="s">
        <v>1522</v>
      </c>
      <c r="F32" s="6">
        <v>0</v>
      </c>
      <c r="G32" s="6"/>
      <c r="H32" s="6"/>
      <c r="I32" s="6"/>
      <c r="J32" s="6">
        <f t="shared" si="0"/>
        <v>0</v>
      </c>
      <c r="K32" s="29">
        <v>105</v>
      </c>
      <c r="L32" s="29">
        <f t="shared" si="1"/>
        <v>0</v>
      </c>
    </row>
    <row r="33" spans="1:12">
      <c r="A33" s="81" t="s">
        <v>1605</v>
      </c>
      <c r="B33" s="81" t="s">
        <v>1606</v>
      </c>
      <c r="C33" s="6">
        <v>28</v>
      </c>
      <c r="D33" s="10" t="s">
        <v>1607</v>
      </c>
      <c r="E33" s="6" t="s">
        <v>1522</v>
      </c>
      <c r="F33" s="6">
        <v>1406</v>
      </c>
      <c r="G33" s="6">
        <v>1312</v>
      </c>
      <c r="H33" s="6"/>
      <c r="I33" s="6">
        <v>175</v>
      </c>
      <c r="J33" s="6">
        <v>0</v>
      </c>
      <c r="K33" s="29">
        <v>74</v>
      </c>
      <c r="L33" s="29">
        <f t="shared" si="1"/>
        <v>0</v>
      </c>
    </row>
    <row r="34" spans="1:12">
      <c r="A34" s="81" t="s">
        <v>1608</v>
      </c>
      <c r="B34" s="81" t="s">
        <v>1609</v>
      </c>
      <c r="C34" s="6">
        <v>29</v>
      </c>
      <c r="D34" s="10" t="s">
        <v>1610</v>
      </c>
      <c r="E34" s="6" t="s">
        <v>1522</v>
      </c>
      <c r="F34" s="6">
        <v>0</v>
      </c>
      <c r="G34" s="6"/>
      <c r="H34" s="6"/>
      <c r="I34" s="6"/>
      <c r="J34" s="6">
        <f t="shared" si="0"/>
        <v>0</v>
      </c>
      <c r="K34" s="29">
        <v>350</v>
      </c>
      <c r="L34" s="29">
        <f t="shared" si="1"/>
        <v>0</v>
      </c>
    </row>
    <row r="35" spans="1:12">
      <c r="A35" s="81" t="s">
        <v>1611</v>
      </c>
      <c r="B35" s="81" t="s">
        <v>1612</v>
      </c>
      <c r="C35" s="6">
        <v>30</v>
      </c>
      <c r="D35" s="10" t="s">
        <v>1613</v>
      </c>
      <c r="E35" s="6" t="s">
        <v>1522</v>
      </c>
      <c r="F35" s="6">
        <v>26</v>
      </c>
      <c r="G35" s="6">
        <v>23</v>
      </c>
      <c r="H35" s="6"/>
      <c r="I35" s="6"/>
      <c r="J35" s="6">
        <f t="shared" si="0"/>
        <v>23</v>
      </c>
      <c r="K35" s="29">
        <v>55</v>
      </c>
      <c r="L35" s="29">
        <f t="shared" si="1"/>
        <v>1265</v>
      </c>
    </row>
    <row r="36" spans="1:12">
      <c r="A36" s="81" t="s">
        <v>1614</v>
      </c>
      <c r="B36" s="81" t="s">
        <v>1615</v>
      </c>
      <c r="C36" s="6">
        <v>31</v>
      </c>
      <c r="D36" s="10" t="s">
        <v>1616</v>
      </c>
      <c r="E36" s="6" t="s">
        <v>1522</v>
      </c>
      <c r="F36" s="6">
        <v>60</v>
      </c>
      <c r="G36" s="6">
        <v>63</v>
      </c>
      <c r="H36" s="6"/>
      <c r="I36" s="6"/>
      <c r="J36" s="6">
        <f t="shared" si="0"/>
        <v>63</v>
      </c>
      <c r="K36" s="29">
        <v>55</v>
      </c>
      <c r="L36" s="29">
        <f t="shared" si="1"/>
        <v>3465</v>
      </c>
    </row>
    <row r="37" spans="1:12">
      <c r="A37" s="81" t="s">
        <v>1617</v>
      </c>
      <c r="B37" s="81" t="s">
        <v>1618</v>
      </c>
      <c r="C37" s="6">
        <v>32</v>
      </c>
      <c r="D37" s="10" t="s">
        <v>1619</v>
      </c>
      <c r="E37" s="6" t="s">
        <v>1522</v>
      </c>
      <c r="F37" s="6">
        <v>0</v>
      </c>
      <c r="G37" s="6"/>
      <c r="H37" s="6"/>
      <c r="I37" s="6"/>
      <c r="J37" s="6">
        <f t="shared" si="0"/>
        <v>0</v>
      </c>
      <c r="K37" s="29">
        <v>55</v>
      </c>
      <c r="L37" s="29">
        <f t="shared" si="1"/>
        <v>0</v>
      </c>
    </row>
    <row r="38" spans="1:12">
      <c r="A38" s="81" t="s">
        <v>1620</v>
      </c>
      <c r="B38" s="81" t="s">
        <v>1621</v>
      </c>
      <c r="C38" s="6">
        <v>33</v>
      </c>
      <c r="D38" s="10" t="s">
        <v>1622</v>
      </c>
      <c r="E38" s="6" t="s">
        <v>1522</v>
      </c>
      <c r="F38" s="6">
        <v>152</v>
      </c>
      <c r="G38" s="6">
        <v>191</v>
      </c>
      <c r="H38" s="6"/>
      <c r="I38" s="6"/>
      <c r="J38" s="6">
        <v>0</v>
      </c>
      <c r="K38" s="136">
        <v>114</v>
      </c>
      <c r="L38" s="29">
        <f t="shared" si="1"/>
        <v>0</v>
      </c>
    </row>
    <row r="39" spans="1:12">
      <c r="A39" s="81" t="s">
        <v>1623</v>
      </c>
      <c r="B39" s="81" t="s">
        <v>1624</v>
      </c>
      <c r="C39" s="6">
        <v>34</v>
      </c>
      <c r="D39" s="10" t="s">
        <v>1625</v>
      </c>
      <c r="E39" s="6" t="s">
        <v>1522</v>
      </c>
      <c r="F39" s="6">
        <v>0</v>
      </c>
      <c r="G39" s="6"/>
      <c r="H39" s="6"/>
      <c r="I39" s="6"/>
      <c r="J39" s="6">
        <f t="shared" si="0"/>
        <v>0</v>
      </c>
      <c r="K39" s="136">
        <v>55</v>
      </c>
      <c r="L39" s="29">
        <f t="shared" si="1"/>
        <v>0</v>
      </c>
    </row>
    <row r="40" spans="1:12">
      <c r="A40" s="81" t="s">
        <v>1626</v>
      </c>
      <c r="B40" s="81" t="s">
        <v>1627</v>
      </c>
      <c r="C40" s="6">
        <v>35</v>
      </c>
      <c r="D40" s="10" t="s">
        <v>1628</v>
      </c>
      <c r="E40" s="6" t="s">
        <v>1522</v>
      </c>
      <c r="F40" s="6">
        <v>1</v>
      </c>
      <c r="G40" s="6"/>
      <c r="H40" s="6"/>
      <c r="I40" s="6"/>
      <c r="J40" s="6">
        <f t="shared" si="0"/>
        <v>0</v>
      </c>
      <c r="K40" s="136">
        <v>145</v>
      </c>
      <c r="L40" s="29">
        <f t="shared" si="1"/>
        <v>0</v>
      </c>
    </row>
    <row r="41" spans="1:12">
      <c r="A41" s="81" t="s">
        <v>1629</v>
      </c>
      <c r="B41" s="81" t="s">
        <v>1630</v>
      </c>
      <c r="C41" s="6">
        <v>36</v>
      </c>
      <c r="D41" s="10" t="s">
        <v>1631</v>
      </c>
      <c r="E41" s="6" t="s">
        <v>1522</v>
      </c>
      <c r="F41" s="6">
        <v>120</v>
      </c>
      <c r="G41" s="6"/>
      <c r="H41" s="6"/>
      <c r="I41" s="6"/>
      <c r="J41" s="6">
        <f t="shared" si="0"/>
        <v>0</v>
      </c>
      <c r="K41" s="136">
        <v>250</v>
      </c>
      <c r="L41" s="29">
        <f t="shared" si="1"/>
        <v>0</v>
      </c>
    </row>
    <row r="42" spans="1:12">
      <c r="A42" s="81" t="s">
        <v>1632</v>
      </c>
      <c r="B42" s="81" t="s">
        <v>1633</v>
      </c>
      <c r="C42" s="6">
        <v>37</v>
      </c>
      <c r="D42" s="10" t="s">
        <v>1554</v>
      </c>
      <c r="E42" s="6" t="s">
        <v>1522</v>
      </c>
      <c r="F42" s="6">
        <v>0</v>
      </c>
      <c r="G42" s="6">
        <v>310</v>
      </c>
      <c r="H42" s="6"/>
      <c r="I42" s="6"/>
      <c r="J42" s="6">
        <f t="shared" si="0"/>
        <v>310</v>
      </c>
      <c r="K42" s="136">
        <v>300</v>
      </c>
      <c r="L42" s="29">
        <f t="shared" si="1"/>
        <v>93000</v>
      </c>
    </row>
    <row r="43" spans="1:12">
      <c r="A43" s="81" t="s">
        <v>1634</v>
      </c>
      <c r="B43" s="81" t="s">
        <v>1635</v>
      </c>
      <c r="C43" s="6">
        <v>38</v>
      </c>
      <c r="D43" s="10" t="s">
        <v>1636</v>
      </c>
      <c r="E43" s="6" t="s">
        <v>1522</v>
      </c>
      <c r="F43" s="6">
        <v>0</v>
      </c>
      <c r="G43" s="6"/>
      <c r="H43" s="6"/>
      <c r="I43" s="6"/>
      <c r="J43" s="6">
        <f t="shared" si="0"/>
        <v>0</v>
      </c>
      <c r="K43" s="136">
        <v>0</v>
      </c>
      <c r="L43" s="29">
        <f t="shared" si="1"/>
        <v>0</v>
      </c>
    </row>
    <row r="44" spans="1:12">
      <c r="A44" s="81" t="s">
        <v>1637</v>
      </c>
      <c r="B44" s="81" t="s">
        <v>1638</v>
      </c>
      <c r="C44" s="6">
        <v>39</v>
      </c>
      <c r="D44" s="10" t="s">
        <v>1639</v>
      </c>
      <c r="E44" s="6" t="s">
        <v>1522</v>
      </c>
      <c r="F44" s="6">
        <v>0</v>
      </c>
      <c r="G44" s="6"/>
      <c r="H44" s="6"/>
      <c r="I44" s="6"/>
      <c r="J44" s="6">
        <f t="shared" si="0"/>
        <v>0</v>
      </c>
      <c r="K44" s="136">
        <v>110</v>
      </c>
      <c r="L44" s="29">
        <f t="shared" si="1"/>
        <v>0</v>
      </c>
    </row>
    <row r="45" spans="1:12">
      <c r="A45" s="81" t="s">
        <v>1640</v>
      </c>
      <c r="B45" s="81" t="s">
        <v>1641</v>
      </c>
      <c r="C45" s="6">
        <v>40</v>
      </c>
      <c r="D45" s="10" t="s">
        <v>1642</v>
      </c>
      <c r="E45" s="6" t="s">
        <v>1522</v>
      </c>
      <c r="F45" s="6">
        <v>40</v>
      </c>
      <c r="G45" s="6"/>
      <c r="H45" s="6"/>
      <c r="I45" s="6"/>
      <c r="J45" s="6">
        <f t="shared" si="0"/>
        <v>0</v>
      </c>
      <c r="K45" s="136">
        <v>55</v>
      </c>
      <c r="L45" s="29">
        <f t="shared" si="1"/>
        <v>0</v>
      </c>
    </row>
    <row r="46" spans="1:12" ht="16.5">
      <c r="A46" s="81" t="s">
        <v>1643</v>
      </c>
      <c r="B46" s="81" t="s">
        <v>1644</v>
      </c>
      <c r="C46" s="6">
        <v>41</v>
      </c>
      <c r="D46" s="161" t="s">
        <v>1645</v>
      </c>
      <c r="E46" s="6" t="s">
        <v>1522</v>
      </c>
      <c r="F46" s="161">
        <v>39</v>
      </c>
      <c r="G46" s="161"/>
      <c r="H46" s="161"/>
      <c r="I46" s="161"/>
      <c r="J46" s="6">
        <f t="shared" si="0"/>
        <v>0</v>
      </c>
      <c r="K46" s="136">
        <v>122</v>
      </c>
      <c r="L46" s="29">
        <f t="shared" si="1"/>
        <v>0</v>
      </c>
    </row>
    <row r="47" spans="1:12" ht="16.5">
      <c r="A47" s="81" t="s">
        <v>1646</v>
      </c>
      <c r="B47" s="81" t="s">
        <v>1647</v>
      </c>
      <c r="C47" s="6">
        <v>42</v>
      </c>
      <c r="D47" s="161" t="s">
        <v>1648</v>
      </c>
      <c r="E47" s="6" t="s">
        <v>1522</v>
      </c>
      <c r="F47" s="161">
        <v>494</v>
      </c>
      <c r="G47" s="161"/>
      <c r="H47" s="161"/>
      <c r="I47" s="161"/>
      <c r="J47" s="6">
        <f t="shared" si="0"/>
        <v>0</v>
      </c>
      <c r="K47" s="136">
        <v>50</v>
      </c>
      <c r="L47" s="29">
        <f t="shared" si="1"/>
        <v>0</v>
      </c>
    </row>
    <row r="48" spans="1:12" ht="16.5">
      <c r="A48" s="81" t="s">
        <v>1649</v>
      </c>
      <c r="B48" s="81" t="s">
        <v>1650</v>
      </c>
      <c r="C48" s="6">
        <v>43</v>
      </c>
      <c r="D48" s="161" t="s">
        <v>1651</v>
      </c>
      <c r="E48" s="6" t="s">
        <v>1522</v>
      </c>
      <c r="F48" s="6">
        <v>500</v>
      </c>
      <c r="G48" s="6"/>
      <c r="H48" s="6"/>
      <c r="I48" s="6"/>
      <c r="J48" s="6">
        <f t="shared" si="0"/>
        <v>0</v>
      </c>
      <c r="K48" s="136">
        <v>60</v>
      </c>
      <c r="L48" s="29">
        <f t="shared" si="1"/>
        <v>0</v>
      </c>
    </row>
    <row r="49" spans="1:12">
      <c r="A49" s="81" t="s">
        <v>1652</v>
      </c>
      <c r="B49" s="81" t="s">
        <v>1653</v>
      </c>
      <c r="C49" s="6">
        <v>44</v>
      </c>
      <c r="D49" s="155" t="s">
        <v>1654</v>
      </c>
      <c r="E49" s="6" t="s">
        <v>1522</v>
      </c>
      <c r="F49" s="6">
        <v>736</v>
      </c>
      <c r="G49" s="6">
        <v>879</v>
      </c>
      <c r="H49" s="6"/>
      <c r="I49" s="6"/>
      <c r="J49" s="6">
        <v>0</v>
      </c>
      <c r="K49" s="136">
        <v>114</v>
      </c>
      <c r="L49" s="29">
        <f t="shared" si="1"/>
        <v>0</v>
      </c>
    </row>
    <row r="50" spans="1:12" ht="16.5">
      <c r="A50" s="81" t="s">
        <v>1655</v>
      </c>
      <c r="B50" s="81" t="s">
        <v>1656</v>
      </c>
      <c r="C50" s="6">
        <v>45</v>
      </c>
      <c r="D50" s="161" t="s">
        <v>1657</v>
      </c>
      <c r="E50" s="6" t="s">
        <v>1522</v>
      </c>
      <c r="F50" s="161">
        <v>30</v>
      </c>
      <c r="G50" s="161"/>
      <c r="H50" s="161"/>
      <c r="I50" s="161"/>
      <c r="J50" s="6">
        <f t="shared" si="0"/>
        <v>0</v>
      </c>
      <c r="K50" s="116">
        <v>70</v>
      </c>
      <c r="L50" s="29">
        <f t="shared" si="1"/>
        <v>0</v>
      </c>
    </row>
    <row r="51" spans="1:12" ht="16.5">
      <c r="A51" s="81" t="s">
        <v>1658</v>
      </c>
      <c r="B51" s="81" t="s">
        <v>1659</v>
      </c>
      <c r="C51" s="6">
        <v>46</v>
      </c>
      <c r="D51" s="161" t="s">
        <v>1660</v>
      </c>
      <c r="E51" s="6" t="s">
        <v>1522</v>
      </c>
      <c r="F51" s="161">
        <v>5930</v>
      </c>
      <c r="G51" s="161">
        <v>5873</v>
      </c>
      <c r="H51" s="161"/>
      <c r="I51" s="161">
        <f>10+4</f>
        <v>14</v>
      </c>
      <c r="J51" s="160">
        <v>0</v>
      </c>
      <c r="K51" s="136">
        <v>74</v>
      </c>
      <c r="L51" s="29">
        <f t="shared" si="1"/>
        <v>0</v>
      </c>
    </row>
    <row r="52" spans="1:12" ht="16.5">
      <c r="A52" s="81" t="s">
        <v>1661</v>
      </c>
      <c r="B52" s="81" t="s">
        <v>1662</v>
      </c>
      <c r="C52" s="6">
        <v>47</v>
      </c>
      <c r="D52" s="161" t="s">
        <v>1663</v>
      </c>
      <c r="E52" s="6" t="s">
        <v>1522</v>
      </c>
      <c r="F52" s="161">
        <v>0</v>
      </c>
      <c r="G52" s="161"/>
      <c r="H52" s="161"/>
      <c r="I52" s="161"/>
      <c r="J52" s="6">
        <f t="shared" si="0"/>
        <v>0</v>
      </c>
      <c r="K52" s="136">
        <v>0</v>
      </c>
      <c r="L52" s="29">
        <f t="shared" si="1"/>
        <v>0</v>
      </c>
    </row>
    <row r="53" spans="1:12" ht="16.5">
      <c r="A53" s="81" t="s">
        <v>1664</v>
      </c>
      <c r="B53" s="81" t="s">
        <v>1665</v>
      </c>
      <c r="C53" s="6">
        <v>48</v>
      </c>
      <c r="D53" s="161" t="s">
        <v>1666</v>
      </c>
      <c r="E53" s="6" t="s">
        <v>1522</v>
      </c>
      <c r="F53" s="161">
        <v>0</v>
      </c>
      <c r="G53" s="161"/>
      <c r="H53" s="161"/>
      <c r="I53" s="161"/>
      <c r="J53" s="6">
        <f t="shared" si="0"/>
        <v>0</v>
      </c>
      <c r="K53" s="136">
        <v>0</v>
      </c>
      <c r="L53" s="29">
        <f t="shared" si="1"/>
        <v>0</v>
      </c>
    </row>
    <row r="54" spans="1:12" ht="16.5">
      <c r="A54" s="81" t="s">
        <v>1667</v>
      </c>
      <c r="B54" s="81" t="s">
        <v>1668</v>
      </c>
      <c r="C54" s="6">
        <v>49</v>
      </c>
      <c r="D54" s="161" t="s">
        <v>1669</v>
      </c>
      <c r="E54" s="6" t="s">
        <v>1522</v>
      </c>
      <c r="F54" s="161">
        <v>0</v>
      </c>
      <c r="G54" s="161"/>
      <c r="H54" s="161"/>
      <c r="I54" s="161"/>
      <c r="J54" s="6">
        <f t="shared" si="0"/>
        <v>0</v>
      </c>
      <c r="K54" s="136">
        <v>60</v>
      </c>
      <c r="L54" s="29">
        <f t="shared" si="1"/>
        <v>0</v>
      </c>
    </row>
    <row r="55" spans="1:12" ht="16.5">
      <c r="A55" s="81" t="s">
        <v>1670</v>
      </c>
      <c r="B55" s="81" t="s">
        <v>1671</v>
      </c>
      <c r="C55" s="6">
        <v>50</v>
      </c>
      <c r="D55" s="161" t="s">
        <v>1672</v>
      </c>
      <c r="E55" s="6" t="s">
        <v>1522</v>
      </c>
      <c r="F55" s="161">
        <v>0</v>
      </c>
      <c r="G55" s="161"/>
      <c r="H55" s="161"/>
      <c r="I55" s="161"/>
      <c r="J55" s="6">
        <f t="shared" si="0"/>
        <v>0</v>
      </c>
      <c r="K55" s="136">
        <v>0</v>
      </c>
      <c r="L55" s="29">
        <f t="shared" si="1"/>
        <v>0</v>
      </c>
    </row>
    <row r="56" spans="1:12" ht="16.5">
      <c r="A56" s="81" t="s">
        <v>1673</v>
      </c>
      <c r="B56" s="81" t="s">
        <v>1674</v>
      </c>
      <c r="C56" s="6">
        <v>51</v>
      </c>
      <c r="D56" s="161" t="s">
        <v>1675</v>
      </c>
      <c r="E56" s="6" t="s">
        <v>1522</v>
      </c>
      <c r="F56" s="161">
        <v>0</v>
      </c>
      <c r="G56" s="161"/>
      <c r="H56" s="161"/>
      <c r="I56" s="161"/>
      <c r="J56" s="6">
        <f t="shared" si="0"/>
        <v>0</v>
      </c>
      <c r="K56" s="136">
        <v>0</v>
      </c>
      <c r="L56" s="29">
        <f t="shared" si="1"/>
        <v>0</v>
      </c>
    </row>
    <row r="57" spans="1:12" ht="16.5">
      <c r="A57" s="81" t="s">
        <v>1676</v>
      </c>
      <c r="B57" s="81" t="s">
        <v>1677</v>
      </c>
      <c r="C57" s="6">
        <v>52</v>
      </c>
      <c r="D57" s="161" t="s">
        <v>1678</v>
      </c>
      <c r="E57" s="6" t="s">
        <v>1522</v>
      </c>
      <c r="F57" s="161">
        <v>0</v>
      </c>
      <c r="G57" s="161"/>
      <c r="H57" s="161"/>
      <c r="I57" s="161"/>
      <c r="J57" s="6">
        <f t="shared" si="0"/>
        <v>0</v>
      </c>
      <c r="K57" s="136">
        <v>0</v>
      </c>
      <c r="L57" s="29">
        <f t="shared" si="1"/>
        <v>0</v>
      </c>
    </row>
    <row r="58" spans="1:12" ht="16.5">
      <c r="A58" s="81" t="s">
        <v>1679</v>
      </c>
      <c r="B58" s="81" t="s">
        <v>1680</v>
      </c>
      <c r="C58" s="6">
        <v>53</v>
      </c>
      <c r="D58" s="161" t="s">
        <v>1681</v>
      </c>
      <c r="E58" s="6" t="s">
        <v>1522</v>
      </c>
      <c r="F58" s="161">
        <v>0</v>
      </c>
      <c r="G58" s="161"/>
      <c r="H58" s="161"/>
      <c r="I58" s="161"/>
      <c r="J58" s="6">
        <f t="shared" si="0"/>
        <v>0</v>
      </c>
      <c r="K58" s="136">
        <v>0</v>
      </c>
      <c r="L58" s="29">
        <f t="shared" si="1"/>
        <v>0</v>
      </c>
    </row>
    <row r="59" spans="1:12">
      <c r="A59" s="81" t="s">
        <v>1682</v>
      </c>
      <c r="B59" s="81" t="s">
        <v>1683</v>
      </c>
      <c r="C59" s="6">
        <v>54</v>
      </c>
      <c r="D59" s="155" t="s">
        <v>1684</v>
      </c>
      <c r="E59" s="6" t="s">
        <v>1522</v>
      </c>
      <c r="F59" s="6">
        <v>0</v>
      </c>
      <c r="G59" s="6">
        <v>416</v>
      </c>
      <c r="H59" s="6"/>
      <c r="I59" s="6"/>
      <c r="J59" s="6">
        <f t="shared" si="0"/>
        <v>416</v>
      </c>
      <c r="K59" s="136">
        <v>0</v>
      </c>
      <c r="L59" s="29">
        <f t="shared" si="1"/>
        <v>0</v>
      </c>
    </row>
    <row r="60" spans="1:12">
      <c r="A60" s="81" t="s">
        <v>1685</v>
      </c>
      <c r="B60" s="81" t="s">
        <v>1686</v>
      </c>
      <c r="C60" s="6">
        <v>55</v>
      </c>
      <c r="D60" s="155" t="s">
        <v>1687</v>
      </c>
      <c r="E60" s="6" t="s">
        <v>1522</v>
      </c>
      <c r="F60" s="6">
        <v>8</v>
      </c>
      <c r="G60" s="6"/>
      <c r="H60" s="6"/>
      <c r="I60" s="6"/>
      <c r="J60" s="6">
        <f t="shared" si="0"/>
        <v>0</v>
      </c>
      <c r="K60" s="136">
        <v>50</v>
      </c>
      <c r="L60" s="29">
        <f t="shared" si="1"/>
        <v>0</v>
      </c>
    </row>
    <row r="61" spans="1:12">
      <c r="A61" s="81" t="s">
        <v>1688</v>
      </c>
      <c r="B61" s="81" t="s">
        <v>1689</v>
      </c>
      <c r="C61" s="6">
        <v>56</v>
      </c>
      <c r="D61" s="155" t="s">
        <v>1690</v>
      </c>
      <c r="E61" s="6" t="s">
        <v>1522</v>
      </c>
      <c r="F61" s="6">
        <v>0</v>
      </c>
      <c r="G61" s="6"/>
      <c r="H61" s="6"/>
      <c r="I61" s="6"/>
      <c r="J61" s="6">
        <f t="shared" si="0"/>
        <v>0</v>
      </c>
      <c r="K61" s="136">
        <v>60</v>
      </c>
      <c r="L61" s="29">
        <f t="shared" si="1"/>
        <v>0</v>
      </c>
    </row>
    <row r="62" spans="1:12">
      <c r="A62" s="81" t="s">
        <v>1691</v>
      </c>
      <c r="B62" s="81" t="s">
        <v>1692</v>
      </c>
      <c r="C62" s="6">
        <v>57</v>
      </c>
      <c r="D62" s="155" t="s">
        <v>1693</v>
      </c>
      <c r="E62" s="6" t="s">
        <v>1522</v>
      </c>
      <c r="F62" s="6">
        <v>380</v>
      </c>
      <c r="G62" s="6">
        <v>138</v>
      </c>
      <c r="H62" s="6"/>
      <c r="I62" s="6"/>
      <c r="J62" s="6">
        <f t="shared" si="0"/>
        <v>138</v>
      </c>
      <c r="K62" s="136">
        <v>60</v>
      </c>
      <c r="L62" s="29">
        <f t="shared" si="1"/>
        <v>8280</v>
      </c>
    </row>
    <row r="63" spans="1:12">
      <c r="A63" s="81" t="s">
        <v>1694</v>
      </c>
      <c r="B63" s="81" t="s">
        <v>1695</v>
      </c>
      <c r="C63" s="6">
        <v>58</v>
      </c>
      <c r="D63" s="155" t="s">
        <v>1696</v>
      </c>
      <c r="E63" s="6" t="s">
        <v>1522</v>
      </c>
      <c r="F63" s="6">
        <v>0</v>
      </c>
      <c r="G63" s="6">
        <v>20</v>
      </c>
      <c r="H63" s="6"/>
      <c r="I63" s="6"/>
      <c r="J63" s="6">
        <f t="shared" si="0"/>
        <v>20</v>
      </c>
      <c r="K63" s="136">
        <v>0</v>
      </c>
      <c r="L63" s="29">
        <f t="shared" si="1"/>
        <v>0</v>
      </c>
    </row>
    <row r="64" spans="1:12">
      <c r="A64" s="81" t="s">
        <v>1697</v>
      </c>
      <c r="B64" s="81" t="s">
        <v>1698</v>
      </c>
      <c r="C64" s="6">
        <v>59</v>
      </c>
      <c r="D64" s="155" t="s">
        <v>1699</v>
      </c>
      <c r="E64" s="6" t="s">
        <v>1522</v>
      </c>
      <c r="F64" s="6">
        <v>20</v>
      </c>
      <c r="G64" s="6">
        <v>18</v>
      </c>
      <c r="H64" s="6"/>
      <c r="I64" s="6"/>
      <c r="J64" s="6">
        <f t="shared" si="0"/>
        <v>18</v>
      </c>
      <c r="K64" s="136">
        <v>0</v>
      </c>
      <c r="L64" s="29">
        <f t="shared" si="1"/>
        <v>0</v>
      </c>
    </row>
    <row r="65" spans="1:12">
      <c r="A65" s="81" t="s">
        <v>1700</v>
      </c>
      <c r="B65" s="81" t="s">
        <v>1701</v>
      </c>
      <c r="C65" s="6">
        <v>60</v>
      </c>
      <c r="D65" s="155" t="s">
        <v>1702</v>
      </c>
      <c r="E65" s="6" t="s">
        <v>1522</v>
      </c>
      <c r="F65" s="6">
        <f>7000-25</f>
        <v>6975</v>
      </c>
      <c r="G65" s="6">
        <v>1137</v>
      </c>
      <c r="H65" s="6"/>
      <c r="I65" s="6"/>
      <c r="J65" s="6">
        <f t="shared" si="0"/>
        <v>1137</v>
      </c>
      <c r="K65" s="136">
        <v>110</v>
      </c>
      <c r="L65" s="29">
        <f t="shared" si="1"/>
        <v>125070</v>
      </c>
    </row>
    <row r="66" spans="1:12">
      <c r="A66" s="81" t="s">
        <v>1703</v>
      </c>
      <c r="B66" s="81" t="s">
        <v>1704</v>
      </c>
      <c r="C66" s="6">
        <v>61</v>
      </c>
      <c r="D66" s="155" t="s">
        <v>1705</v>
      </c>
      <c r="E66" s="6" t="s">
        <v>1522</v>
      </c>
      <c r="F66" s="6">
        <v>4000</v>
      </c>
      <c r="G66" s="6">
        <v>7420</v>
      </c>
      <c r="H66" s="6">
        <v>608</v>
      </c>
      <c r="I66" s="6"/>
      <c r="J66" s="6">
        <f t="shared" si="0"/>
        <v>8028</v>
      </c>
      <c r="K66" s="136">
        <v>20</v>
      </c>
      <c r="L66" s="29">
        <f t="shared" si="1"/>
        <v>160560</v>
      </c>
    </row>
    <row r="67" spans="1:12">
      <c r="A67" s="81" t="s">
        <v>1706</v>
      </c>
      <c r="B67" s="81" t="s">
        <v>1707</v>
      </c>
      <c r="C67" s="6">
        <v>62</v>
      </c>
      <c r="D67" s="155" t="s">
        <v>1708</v>
      </c>
      <c r="E67" s="10" t="s">
        <v>1522</v>
      </c>
      <c r="F67" s="6">
        <v>100</v>
      </c>
      <c r="G67" s="6">
        <v>165</v>
      </c>
      <c r="H67" s="6"/>
      <c r="I67" s="6"/>
      <c r="J67" s="6">
        <f t="shared" si="0"/>
        <v>165</v>
      </c>
      <c r="K67" s="136">
        <v>120</v>
      </c>
      <c r="L67" s="29">
        <f t="shared" si="1"/>
        <v>19800</v>
      </c>
    </row>
    <row r="68" spans="1:12">
      <c r="A68" s="81" t="s">
        <v>1709</v>
      </c>
      <c r="B68" s="81" t="s">
        <v>1710</v>
      </c>
      <c r="C68" s="6">
        <v>63</v>
      </c>
      <c r="D68" s="155" t="s">
        <v>1711</v>
      </c>
      <c r="E68" s="10" t="s">
        <v>1522</v>
      </c>
      <c r="F68" s="6">
        <v>50</v>
      </c>
      <c r="G68" s="6"/>
      <c r="H68" s="6"/>
      <c r="I68" s="6"/>
      <c r="J68" s="6">
        <f t="shared" si="0"/>
        <v>0</v>
      </c>
      <c r="K68" s="136">
        <v>170</v>
      </c>
      <c r="L68" s="29">
        <f t="shared" si="1"/>
        <v>0</v>
      </c>
    </row>
    <row r="69" spans="1:12">
      <c r="A69" s="81" t="s">
        <v>1712</v>
      </c>
      <c r="B69" s="81" t="s">
        <v>1713</v>
      </c>
      <c r="C69" s="6">
        <v>64</v>
      </c>
      <c r="D69" s="155" t="s">
        <v>1714</v>
      </c>
      <c r="E69" s="10" t="s">
        <v>1522</v>
      </c>
      <c r="F69" s="6">
        <v>10</v>
      </c>
      <c r="G69" s="6">
        <v>249</v>
      </c>
      <c r="H69" s="6"/>
      <c r="I69" s="6"/>
      <c r="J69" s="6">
        <f t="shared" si="0"/>
        <v>249</v>
      </c>
      <c r="K69" s="136">
        <v>150</v>
      </c>
      <c r="L69" s="29">
        <f t="shared" si="1"/>
        <v>37350</v>
      </c>
    </row>
    <row r="70" spans="1:12">
      <c r="A70" s="81" t="s">
        <v>1715</v>
      </c>
      <c r="B70" s="81" t="s">
        <v>1716</v>
      </c>
      <c r="C70" s="6">
        <v>65</v>
      </c>
      <c r="D70" s="155" t="s">
        <v>1717</v>
      </c>
      <c r="E70" s="10" t="s">
        <v>1522</v>
      </c>
      <c r="F70" s="6">
        <v>10</v>
      </c>
      <c r="G70" s="6">
        <v>25</v>
      </c>
      <c r="H70" s="6"/>
      <c r="I70" s="6"/>
      <c r="J70" s="6">
        <f t="shared" si="0"/>
        <v>25</v>
      </c>
      <c r="K70" s="136">
        <v>150</v>
      </c>
      <c r="L70" s="29">
        <f t="shared" si="1"/>
        <v>3750</v>
      </c>
    </row>
    <row r="71" spans="1:12">
      <c r="A71" s="81" t="s">
        <v>1718</v>
      </c>
      <c r="B71" s="81" t="s">
        <v>1719</v>
      </c>
      <c r="C71" s="6">
        <v>66</v>
      </c>
      <c r="D71" s="155" t="s">
        <v>1720</v>
      </c>
      <c r="E71" s="10" t="s">
        <v>1522</v>
      </c>
      <c r="F71" s="6">
        <v>10</v>
      </c>
      <c r="G71" s="6">
        <v>198</v>
      </c>
      <c r="H71" s="6"/>
      <c r="I71" s="6"/>
      <c r="J71" s="6">
        <f t="shared" ref="J71:J87" si="2">G71+H71-I71</f>
        <v>198</v>
      </c>
      <c r="K71" s="136">
        <v>170</v>
      </c>
      <c r="L71" s="29">
        <f t="shared" ref="L71:L86" si="3">J71*K71</f>
        <v>33660</v>
      </c>
    </row>
    <row r="72" spans="1:12">
      <c r="A72" s="81" t="s">
        <v>1721</v>
      </c>
      <c r="B72" s="81" t="s">
        <v>1722</v>
      </c>
      <c r="C72" s="6">
        <v>67</v>
      </c>
      <c r="D72" s="155" t="s">
        <v>1723</v>
      </c>
      <c r="E72" s="10" t="s">
        <v>1522</v>
      </c>
      <c r="F72" s="6">
        <v>10</v>
      </c>
      <c r="G72" s="6">
        <v>167</v>
      </c>
      <c r="H72" s="6"/>
      <c r="I72" s="6"/>
      <c r="J72" s="6">
        <f t="shared" si="2"/>
        <v>167</v>
      </c>
      <c r="K72" s="136">
        <v>160</v>
      </c>
      <c r="L72" s="29">
        <f t="shared" si="3"/>
        <v>26720</v>
      </c>
    </row>
    <row r="73" spans="1:12">
      <c r="A73" s="81" t="s">
        <v>1724</v>
      </c>
      <c r="B73" s="81" t="s">
        <v>1725</v>
      </c>
      <c r="C73" s="6">
        <v>68</v>
      </c>
      <c r="D73" s="155" t="s">
        <v>1726</v>
      </c>
      <c r="E73" s="10" t="s">
        <v>1522</v>
      </c>
      <c r="F73" s="6">
        <v>150</v>
      </c>
      <c r="G73" s="6"/>
      <c r="H73" s="6"/>
      <c r="I73" s="6"/>
      <c r="J73" s="6">
        <f t="shared" si="2"/>
        <v>0</v>
      </c>
      <c r="K73" s="136">
        <v>120</v>
      </c>
      <c r="L73" s="29">
        <f t="shared" si="3"/>
        <v>0</v>
      </c>
    </row>
    <row r="74" spans="1:12">
      <c r="A74" s="81" t="s">
        <v>1727</v>
      </c>
      <c r="B74" s="81" t="s">
        <v>1728</v>
      </c>
      <c r="C74" s="6">
        <v>69</v>
      </c>
      <c r="D74" s="155" t="s">
        <v>1729</v>
      </c>
      <c r="E74" s="10" t="s">
        <v>1522</v>
      </c>
      <c r="F74" s="6">
        <v>150</v>
      </c>
      <c r="G74" s="6"/>
      <c r="H74" s="6"/>
      <c r="I74" s="6"/>
      <c r="J74" s="6">
        <f t="shared" si="2"/>
        <v>0</v>
      </c>
      <c r="K74" s="136">
        <v>120</v>
      </c>
      <c r="L74" s="29">
        <f t="shared" si="3"/>
        <v>0</v>
      </c>
    </row>
    <row r="75" spans="1:12">
      <c r="A75" s="81" t="s">
        <v>1730</v>
      </c>
      <c r="B75" s="81" t="s">
        <v>1731</v>
      </c>
      <c r="C75" s="6">
        <v>70</v>
      </c>
      <c r="D75" s="155" t="s">
        <v>1732</v>
      </c>
      <c r="E75" s="10" t="s">
        <v>1522</v>
      </c>
      <c r="F75" s="6">
        <v>150</v>
      </c>
      <c r="G75" s="6"/>
      <c r="H75" s="6"/>
      <c r="I75" s="6"/>
      <c r="J75" s="6">
        <f t="shared" si="2"/>
        <v>0</v>
      </c>
      <c r="K75" s="136">
        <v>120</v>
      </c>
      <c r="L75" s="29">
        <f t="shared" si="3"/>
        <v>0</v>
      </c>
    </row>
    <row r="76" spans="1:12">
      <c r="A76" s="81" t="s">
        <v>1733</v>
      </c>
      <c r="B76" s="81" t="s">
        <v>1734</v>
      </c>
      <c r="C76" s="6">
        <v>71</v>
      </c>
      <c r="D76" s="155" t="s">
        <v>1735</v>
      </c>
      <c r="E76" s="10" t="s">
        <v>1522</v>
      </c>
      <c r="F76" s="6">
        <v>150</v>
      </c>
      <c r="G76" s="6"/>
      <c r="H76" s="6">
        <v>400</v>
      </c>
      <c r="I76" s="6">
        <v>100</v>
      </c>
      <c r="J76" s="6">
        <v>0</v>
      </c>
      <c r="K76" s="136">
        <v>110</v>
      </c>
      <c r="L76" s="29">
        <f t="shared" si="3"/>
        <v>0</v>
      </c>
    </row>
    <row r="77" spans="1:12">
      <c r="A77" s="81" t="s">
        <v>1736</v>
      </c>
      <c r="B77" s="81" t="s">
        <v>1737</v>
      </c>
      <c r="C77" s="6">
        <v>72</v>
      </c>
      <c r="D77" s="155" t="s">
        <v>1738</v>
      </c>
      <c r="E77" s="10" t="s">
        <v>1522</v>
      </c>
      <c r="F77" s="6">
        <v>90</v>
      </c>
      <c r="G77" s="6">
        <v>90</v>
      </c>
      <c r="H77" s="6"/>
      <c r="I77" s="6"/>
      <c r="J77" s="6">
        <f t="shared" si="2"/>
        <v>90</v>
      </c>
      <c r="K77" s="29">
        <v>110</v>
      </c>
      <c r="L77" s="29">
        <f t="shared" si="3"/>
        <v>9900</v>
      </c>
    </row>
    <row r="78" spans="1:12">
      <c r="A78" s="81" t="s">
        <v>1739</v>
      </c>
      <c r="B78" s="81" t="s">
        <v>1740</v>
      </c>
      <c r="C78" s="6">
        <v>73</v>
      </c>
      <c r="D78" s="155" t="s">
        <v>1741</v>
      </c>
      <c r="E78" s="10" t="s">
        <v>1522</v>
      </c>
      <c r="F78" s="10">
        <v>197</v>
      </c>
      <c r="G78" s="10">
        <v>175</v>
      </c>
      <c r="H78" s="10"/>
      <c r="I78" s="10"/>
      <c r="J78" s="6">
        <v>90</v>
      </c>
      <c r="K78" s="29">
        <v>90</v>
      </c>
      <c r="L78" s="29">
        <f t="shared" si="3"/>
        <v>8100</v>
      </c>
    </row>
    <row r="79" spans="1:12">
      <c r="A79" s="81" t="s">
        <v>1742</v>
      </c>
      <c r="B79" s="81" t="s">
        <v>1743</v>
      </c>
      <c r="C79" s="6">
        <v>74</v>
      </c>
      <c r="D79" s="155" t="s">
        <v>1744</v>
      </c>
      <c r="E79" s="10" t="s">
        <v>1522</v>
      </c>
      <c r="F79" s="10">
        <v>18</v>
      </c>
      <c r="G79" s="10"/>
      <c r="H79" s="10"/>
      <c r="I79" s="10"/>
      <c r="J79" s="6">
        <f t="shared" si="2"/>
        <v>0</v>
      </c>
      <c r="K79" s="29">
        <v>110</v>
      </c>
      <c r="L79" s="29">
        <f t="shared" si="3"/>
        <v>0</v>
      </c>
    </row>
    <row r="80" spans="1:12">
      <c r="A80" s="81" t="s">
        <v>1760</v>
      </c>
      <c r="B80" s="81" t="s">
        <v>1745</v>
      </c>
      <c r="C80" s="6">
        <v>75</v>
      </c>
      <c r="D80" s="155" t="s">
        <v>1746</v>
      </c>
      <c r="E80" s="10" t="s">
        <v>1522</v>
      </c>
      <c r="F80" s="10"/>
      <c r="G80" s="10">
        <v>20</v>
      </c>
      <c r="H80" s="10"/>
      <c r="I80" s="10"/>
      <c r="J80" s="6">
        <f t="shared" si="2"/>
        <v>20</v>
      </c>
      <c r="K80" s="29">
        <v>160</v>
      </c>
      <c r="L80" s="29">
        <f t="shared" si="3"/>
        <v>3200</v>
      </c>
    </row>
    <row r="81" spans="1:12">
      <c r="A81" s="81" t="s">
        <v>1761</v>
      </c>
      <c r="B81" s="81" t="s">
        <v>1747</v>
      </c>
      <c r="C81" s="6">
        <v>76</v>
      </c>
      <c r="D81" s="155" t="s">
        <v>1748</v>
      </c>
      <c r="E81" s="10" t="s">
        <v>1522</v>
      </c>
      <c r="F81" s="10"/>
      <c r="G81" s="10"/>
      <c r="H81" s="10"/>
      <c r="I81" s="10"/>
      <c r="J81" s="6">
        <f t="shared" si="2"/>
        <v>0</v>
      </c>
      <c r="K81" s="29">
        <v>60</v>
      </c>
      <c r="L81" s="29">
        <f t="shared" si="3"/>
        <v>0</v>
      </c>
    </row>
    <row r="82" spans="1:12">
      <c r="A82" s="81" t="s">
        <v>1762</v>
      </c>
      <c r="B82" s="81" t="s">
        <v>1755</v>
      </c>
      <c r="C82" s="6">
        <v>77</v>
      </c>
      <c r="D82" s="155" t="s">
        <v>1749</v>
      </c>
      <c r="E82" s="10" t="s">
        <v>1522</v>
      </c>
      <c r="F82" s="10"/>
      <c r="G82" s="10">
        <v>9</v>
      </c>
      <c r="H82" s="10"/>
      <c r="I82" s="10"/>
      <c r="J82" s="6">
        <f t="shared" si="2"/>
        <v>9</v>
      </c>
      <c r="K82" s="29">
        <v>150</v>
      </c>
      <c r="L82" s="29">
        <f t="shared" si="3"/>
        <v>1350</v>
      </c>
    </row>
    <row r="83" spans="1:12">
      <c r="A83" s="81" t="s">
        <v>1763</v>
      </c>
      <c r="B83" s="81" t="s">
        <v>1756</v>
      </c>
      <c r="C83" s="6">
        <v>78</v>
      </c>
      <c r="D83" s="155" t="s">
        <v>1750</v>
      </c>
      <c r="E83" s="10" t="s">
        <v>1751</v>
      </c>
      <c r="F83" s="10"/>
      <c r="G83" s="10">
        <v>50</v>
      </c>
      <c r="H83" s="10"/>
      <c r="I83" s="10"/>
      <c r="J83" s="6">
        <f t="shared" si="2"/>
        <v>50</v>
      </c>
      <c r="K83" s="29">
        <v>270</v>
      </c>
      <c r="L83" s="29">
        <f t="shared" si="3"/>
        <v>13500</v>
      </c>
    </row>
    <row r="84" spans="1:12">
      <c r="A84" s="81" t="s">
        <v>1764</v>
      </c>
      <c r="B84" s="81" t="s">
        <v>1757</v>
      </c>
      <c r="C84" s="6">
        <v>79</v>
      </c>
      <c r="D84" s="155" t="s">
        <v>1752</v>
      </c>
      <c r="E84" s="10" t="s">
        <v>1522</v>
      </c>
      <c r="F84" s="10"/>
      <c r="G84" s="10">
        <v>20</v>
      </c>
      <c r="H84" s="10"/>
      <c r="I84" s="10"/>
      <c r="J84" s="6">
        <f t="shared" si="2"/>
        <v>20</v>
      </c>
      <c r="K84" s="29">
        <v>160</v>
      </c>
      <c r="L84" s="29">
        <f t="shared" si="3"/>
        <v>3200</v>
      </c>
    </row>
    <row r="85" spans="1:12">
      <c r="A85" s="81" t="s">
        <v>1765</v>
      </c>
      <c r="B85" s="81" t="s">
        <v>1758</v>
      </c>
      <c r="C85" s="6">
        <v>80</v>
      </c>
      <c r="D85" s="155" t="s">
        <v>1753</v>
      </c>
      <c r="E85" s="10" t="s">
        <v>1522</v>
      </c>
      <c r="F85" s="10"/>
      <c r="G85" s="10">
        <v>90</v>
      </c>
      <c r="H85" s="10"/>
      <c r="I85" s="10"/>
      <c r="J85" s="6">
        <f t="shared" si="2"/>
        <v>90</v>
      </c>
      <c r="K85" s="29">
        <v>160</v>
      </c>
      <c r="L85" s="29">
        <f t="shared" si="3"/>
        <v>14400</v>
      </c>
    </row>
    <row r="86" spans="1:12">
      <c r="A86" s="81" t="s">
        <v>1766</v>
      </c>
      <c r="B86" s="81" t="s">
        <v>1759</v>
      </c>
      <c r="C86" s="6">
        <v>81</v>
      </c>
      <c r="D86" s="155" t="s">
        <v>1754</v>
      </c>
      <c r="E86" s="10" t="s">
        <v>1522</v>
      </c>
      <c r="F86" s="10"/>
      <c r="G86" s="10">
        <v>0</v>
      </c>
      <c r="H86" s="10">
        <f>442+100</f>
        <v>542</v>
      </c>
      <c r="I86" s="10">
        <f>100+83+259+100</f>
        <v>542</v>
      </c>
      <c r="J86" s="6">
        <v>260</v>
      </c>
      <c r="K86" s="29">
        <v>120</v>
      </c>
      <c r="L86" s="29">
        <f t="shared" si="3"/>
        <v>31200</v>
      </c>
    </row>
    <row r="87" spans="1:12">
      <c r="A87" s="162"/>
      <c r="B87" s="15"/>
      <c r="C87" s="163">
        <v>82</v>
      </c>
      <c r="D87" s="163"/>
      <c r="E87" s="164"/>
      <c r="F87" s="163"/>
      <c r="G87" s="163"/>
      <c r="H87" s="163"/>
      <c r="I87" s="163"/>
      <c r="J87" s="179">
        <f t="shared" si="2"/>
        <v>0</v>
      </c>
      <c r="K87" s="165" t="s">
        <v>146</v>
      </c>
      <c r="L87" s="166">
        <f>SUM(L6:L86)</f>
        <v>986265</v>
      </c>
    </row>
  </sheetData>
  <mergeCells count="1">
    <mergeCell ref="A3:L3"/>
  </mergeCells>
  <pageMargins left="0.2" right="0.16" top="0.25" bottom="0.28000000000000003" header="0.23" footer="0.3"/>
  <pageSetup scale="4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K39"/>
  <sheetViews>
    <sheetView topLeftCell="A14" workbookViewId="0">
      <selection activeCell="A39" sqref="A39"/>
    </sheetView>
  </sheetViews>
  <sheetFormatPr defaultRowHeight="15"/>
  <cols>
    <col min="1" max="1" width="15.140625" bestFit="1" customWidth="1"/>
    <col min="2" max="2" width="13.85546875" bestFit="1" customWidth="1"/>
    <col min="3" max="3" width="5.7109375" bestFit="1" customWidth="1"/>
    <col min="4" max="4" width="35.28515625" bestFit="1" customWidth="1"/>
    <col min="5" max="5" width="14.140625" bestFit="1" customWidth="1"/>
    <col min="6" max="8" width="0" hidden="1" customWidth="1"/>
    <col min="10" max="10" width="10.85546875" bestFit="1" customWidth="1"/>
    <col min="11" max="11" width="9.42578125" bestFit="1" customWidth="1"/>
  </cols>
  <sheetData>
    <row r="1" spans="1:11" ht="16.5" thickBot="1">
      <c r="A1" s="318" t="s">
        <v>1767</v>
      </c>
      <c r="B1" s="319"/>
      <c r="C1" s="319"/>
      <c r="D1" s="319"/>
      <c r="E1" s="319"/>
      <c r="F1" s="319"/>
      <c r="G1" s="319"/>
      <c r="H1" s="319"/>
      <c r="I1" s="319"/>
      <c r="J1" s="319"/>
      <c r="K1" s="320"/>
    </row>
    <row r="2" spans="1:11" ht="15.75" thickBot="1"/>
    <row r="3" spans="1:11" ht="15.75" thickBot="1">
      <c r="A3" s="38" t="s">
        <v>1768</v>
      </c>
      <c r="B3" s="39" t="s">
        <v>150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1298</v>
      </c>
      <c r="H3" s="1" t="s">
        <v>1297</v>
      </c>
      <c r="I3" s="1" t="s">
        <v>1296</v>
      </c>
      <c r="J3" s="1" t="s">
        <v>131</v>
      </c>
      <c r="K3" s="2" t="s">
        <v>136</v>
      </c>
    </row>
    <row r="4" spans="1:11">
      <c r="A4" s="167" t="s">
        <v>1769</v>
      </c>
      <c r="B4" s="167" t="s">
        <v>1770</v>
      </c>
      <c r="C4" s="159">
        <v>1</v>
      </c>
      <c r="D4" s="168" t="s">
        <v>1771</v>
      </c>
      <c r="E4" s="159" t="s">
        <v>1772</v>
      </c>
      <c r="F4" s="159"/>
      <c r="G4" s="159"/>
      <c r="H4" s="159"/>
      <c r="I4" s="159">
        <f>F4+G4-H4</f>
        <v>0</v>
      </c>
      <c r="J4" s="30">
        <v>100</v>
      </c>
      <c r="K4" s="168">
        <f>I4*J4</f>
        <v>0</v>
      </c>
    </row>
    <row r="5" spans="1:11">
      <c r="A5" s="81" t="s">
        <v>1773</v>
      </c>
      <c r="B5" s="81" t="s">
        <v>1774</v>
      </c>
      <c r="C5" s="6">
        <v>2</v>
      </c>
      <c r="D5" s="6" t="s">
        <v>1775</v>
      </c>
      <c r="E5" s="6" t="s">
        <v>1772</v>
      </c>
      <c r="F5" s="6"/>
      <c r="G5" s="6"/>
      <c r="H5" s="6"/>
      <c r="I5" s="159">
        <f t="shared" ref="I5:I38" si="0">F5+G5-H5</f>
        <v>0</v>
      </c>
      <c r="J5" s="29">
        <v>1000</v>
      </c>
      <c r="K5" s="168">
        <f t="shared" ref="K5:K38" si="1">I5*J5</f>
        <v>0</v>
      </c>
    </row>
    <row r="6" spans="1:11">
      <c r="A6" s="81" t="s">
        <v>1776</v>
      </c>
      <c r="B6" s="81" t="s">
        <v>1777</v>
      </c>
      <c r="C6" s="6">
        <v>3</v>
      </c>
      <c r="D6" s="10" t="s">
        <v>1778</v>
      </c>
      <c r="E6" s="6" t="s">
        <v>1779</v>
      </c>
      <c r="F6" s="6"/>
      <c r="G6" s="6"/>
      <c r="H6" s="6"/>
      <c r="I6" s="175">
        <f t="shared" si="0"/>
        <v>0</v>
      </c>
      <c r="J6" s="29">
        <v>1200</v>
      </c>
      <c r="K6" s="168">
        <f t="shared" si="1"/>
        <v>0</v>
      </c>
    </row>
    <row r="7" spans="1:11">
      <c r="A7" s="81" t="s">
        <v>1780</v>
      </c>
      <c r="B7" s="81" t="s">
        <v>1781</v>
      </c>
      <c r="C7" s="6">
        <v>4</v>
      </c>
      <c r="D7" s="10" t="s">
        <v>1782</v>
      </c>
      <c r="E7" s="6" t="s">
        <v>1783</v>
      </c>
      <c r="F7" s="6"/>
      <c r="G7" s="6">
        <f>1+2+10</f>
        <v>13</v>
      </c>
      <c r="H7" s="10">
        <f>1+7</f>
        <v>8</v>
      </c>
      <c r="I7" s="175">
        <f t="shared" si="0"/>
        <v>5</v>
      </c>
      <c r="J7" s="29">
        <v>750</v>
      </c>
      <c r="K7" s="168">
        <f t="shared" si="1"/>
        <v>3750</v>
      </c>
    </row>
    <row r="8" spans="1:11">
      <c r="A8" s="81" t="s">
        <v>1784</v>
      </c>
      <c r="B8" s="81" t="s">
        <v>1785</v>
      </c>
      <c r="C8" s="6">
        <v>5</v>
      </c>
      <c r="D8" s="10" t="s">
        <v>1786</v>
      </c>
      <c r="E8" s="6" t="s">
        <v>1783</v>
      </c>
      <c r="F8" s="6">
        <v>0</v>
      </c>
      <c r="G8" s="6">
        <f>2+10+1+8+20+40</f>
        <v>81</v>
      </c>
      <c r="H8" s="6">
        <v>1</v>
      </c>
      <c r="I8" s="175">
        <v>2380</v>
      </c>
      <c r="J8" s="29">
        <v>1100</v>
      </c>
      <c r="K8" s="168">
        <f t="shared" si="1"/>
        <v>2618000</v>
      </c>
    </row>
    <row r="9" spans="1:11">
      <c r="A9" s="81" t="s">
        <v>1787</v>
      </c>
      <c r="B9" s="81" t="s">
        <v>1788</v>
      </c>
      <c r="C9" s="6">
        <v>6</v>
      </c>
      <c r="D9" s="10" t="s">
        <v>1789</v>
      </c>
      <c r="E9" s="6" t="s">
        <v>1779</v>
      </c>
      <c r="F9" s="6">
        <v>1116</v>
      </c>
      <c r="G9" s="6"/>
      <c r="H9" s="6">
        <f>20+1+216+346</f>
        <v>583</v>
      </c>
      <c r="I9" s="175">
        <f t="shared" si="0"/>
        <v>533</v>
      </c>
      <c r="J9" s="29">
        <v>395</v>
      </c>
      <c r="K9" s="168">
        <f t="shared" si="1"/>
        <v>210535</v>
      </c>
    </row>
    <row r="10" spans="1:11">
      <c r="A10" s="81" t="s">
        <v>1790</v>
      </c>
      <c r="B10" s="81" t="s">
        <v>1791</v>
      </c>
      <c r="C10" s="6">
        <v>7</v>
      </c>
      <c r="D10" s="10" t="s">
        <v>1792</v>
      </c>
      <c r="E10" s="6" t="s">
        <v>1779</v>
      </c>
      <c r="F10" s="6">
        <v>841</v>
      </c>
      <c r="G10" s="169">
        <f>90+36</f>
        <v>126</v>
      </c>
      <c r="H10" s="10">
        <f>1+216</f>
        <v>217</v>
      </c>
      <c r="I10" s="175">
        <f t="shared" si="0"/>
        <v>750</v>
      </c>
      <c r="J10" s="29">
        <v>530</v>
      </c>
      <c r="K10" s="168">
        <f t="shared" si="1"/>
        <v>397500</v>
      </c>
    </row>
    <row r="11" spans="1:11">
      <c r="A11" s="81" t="s">
        <v>1793</v>
      </c>
      <c r="B11" s="81" t="s">
        <v>1794</v>
      </c>
      <c r="C11" s="6">
        <v>8</v>
      </c>
      <c r="D11" s="10" t="s">
        <v>1795</v>
      </c>
      <c r="E11" s="6" t="s">
        <v>1779</v>
      </c>
      <c r="F11" s="6">
        <v>1240</v>
      </c>
      <c r="G11" s="6">
        <f>240+2</f>
        <v>242</v>
      </c>
      <c r="H11" s="6">
        <f>2+2+1+504</f>
        <v>509</v>
      </c>
      <c r="I11" s="175">
        <v>680</v>
      </c>
      <c r="J11" s="29">
        <v>962</v>
      </c>
      <c r="K11" s="168">
        <f t="shared" si="1"/>
        <v>654160</v>
      </c>
    </row>
    <row r="12" spans="1:11">
      <c r="A12" s="81" t="s">
        <v>1796</v>
      </c>
      <c r="B12" s="81" t="s">
        <v>1797</v>
      </c>
      <c r="C12" s="6">
        <v>9</v>
      </c>
      <c r="D12" s="10" t="s">
        <v>1798</v>
      </c>
      <c r="E12" s="6" t="s">
        <v>1779</v>
      </c>
      <c r="F12" s="6">
        <v>1382</v>
      </c>
      <c r="G12" s="6">
        <f>160+2</f>
        <v>162</v>
      </c>
      <c r="H12" s="6">
        <f>20+18+1+552</f>
        <v>591</v>
      </c>
      <c r="I12" s="175">
        <v>560</v>
      </c>
      <c r="J12" s="29">
        <v>1180</v>
      </c>
      <c r="K12" s="168">
        <f t="shared" si="1"/>
        <v>660800</v>
      </c>
    </row>
    <row r="13" spans="1:11">
      <c r="A13" s="81" t="s">
        <v>1799</v>
      </c>
      <c r="B13" s="81" t="s">
        <v>1800</v>
      </c>
      <c r="C13" s="6">
        <v>10</v>
      </c>
      <c r="D13" s="10" t="s">
        <v>1801</v>
      </c>
      <c r="E13" s="6" t="s">
        <v>1802</v>
      </c>
      <c r="F13" s="6"/>
      <c r="G13" s="6">
        <f>25+4+1</f>
        <v>30</v>
      </c>
      <c r="H13" s="6">
        <v>25</v>
      </c>
      <c r="I13" s="175">
        <v>15</v>
      </c>
      <c r="J13" s="29">
        <v>245</v>
      </c>
      <c r="K13" s="168">
        <f t="shared" si="1"/>
        <v>3675</v>
      </c>
    </row>
    <row r="14" spans="1:11">
      <c r="A14" s="81" t="s">
        <v>1803</v>
      </c>
      <c r="B14" s="81" t="s">
        <v>1804</v>
      </c>
      <c r="C14" s="6">
        <v>11</v>
      </c>
      <c r="D14" s="10" t="s">
        <v>1805</v>
      </c>
      <c r="E14" s="6" t="s">
        <v>1802</v>
      </c>
      <c r="F14" s="6"/>
      <c r="G14" s="6">
        <f>25+120</f>
        <v>145</v>
      </c>
      <c r="H14" s="6">
        <v>25</v>
      </c>
      <c r="I14" s="175">
        <f t="shared" si="0"/>
        <v>120</v>
      </c>
      <c r="J14" s="29">
        <v>330</v>
      </c>
      <c r="K14" s="168">
        <f t="shared" si="1"/>
        <v>39600</v>
      </c>
    </row>
    <row r="15" spans="1:11">
      <c r="A15" s="81" t="s">
        <v>1806</v>
      </c>
      <c r="B15" s="81" t="s">
        <v>1807</v>
      </c>
      <c r="C15" s="6">
        <v>12</v>
      </c>
      <c r="D15" s="10" t="s">
        <v>1808</v>
      </c>
      <c r="E15" s="6" t="s">
        <v>1802</v>
      </c>
      <c r="F15" s="6"/>
      <c r="G15" s="6">
        <f>25+60</f>
        <v>85</v>
      </c>
      <c r="H15" s="6">
        <v>25</v>
      </c>
      <c r="I15" s="175">
        <f t="shared" si="0"/>
        <v>60</v>
      </c>
      <c r="J15" s="29">
        <v>672</v>
      </c>
      <c r="K15" s="168">
        <f t="shared" si="1"/>
        <v>40320</v>
      </c>
    </row>
    <row r="16" spans="1:11">
      <c r="A16" s="81" t="s">
        <v>1809</v>
      </c>
      <c r="B16" s="81" t="s">
        <v>1810</v>
      </c>
      <c r="C16" s="6">
        <v>13</v>
      </c>
      <c r="D16" s="10" t="s">
        <v>1811</v>
      </c>
      <c r="E16" s="6" t="s">
        <v>1783</v>
      </c>
      <c r="F16" s="6"/>
      <c r="G16" s="6"/>
      <c r="H16" s="6"/>
      <c r="I16" s="175">
        <f t="shared" si="0"/>
        <v>0</v>
      </c>
      <c r="J16" s="136">
        <v>600</v>
      </c>
      <c r="K16" s="168">
        <f t="shared" si="1"/>
        <v>0</v>
      </c>
    </row>
    <row r="17" spans="1:11">
      <c r="A17" s="81" t="s">
        <v>1812</v>
      </c>
      <c r="B17" s="81" t="s">
        <v>1813</v>
      </c>
      <c r="C17" s="6">
        <v>14</v>
      </c>
      <c r="D17" s="10" t="s">
        <v>1814</v>
      </c>
      <c r="E17" s="6" t="s">
        <v>1783</v>
      </c>
      <c r="F17" s="6"/>
      <c r="G17" s="6"/>
      <c r="H17" s="6"/>
      <c r="I17" s="175">
        <f t="shared" si="0"/>
        <v>0</v>
      </c>
      <c r="J17" s="29">
        <v>400</v>
      </c>
      <c r="K17" s="168">
        <f t="shared" si="1"/>
        <v>0</v>
      </c>
    </row>
    <row r="18" spans="1:11">
      <c r="A18" s="81" t="s">
        <v>1815</v>
      </c>
      <c r="B18" s="81" t="s">
        <v>1816</v>
      </c>
      <c r="C18" s="6">
        <v>15</v>
      </c>
      <c r="D18" s="10" t="s">
        <v>1817</v>
      </c>
      <c r="E18" s="6" t="s">
        <v>1783</v>
      </c>
      <c r="F18" s="6">
        <v>0</v>
      </c>
      <c r="G18" s="6">
        <v>1</v>
      </c>
      <c r="H18" s="6">
        <v>1</v>
      </c>
      <c r="I18" s="175">
        <f t="shared" si="0"/>
        <v>0</v>
      </c>
      <c r="J18" s="29">
        <v>750</v>
      </c>
      <c r="K18" s="168">
        <f t="shared" si="1"/>
        <v>0</v>
      </c>
    </row>
    <row r="19" spans="1:11">
      <c r="A19" s="81" t="s">
        <v>1818</v>
      </c>
      <c r="B19" s="81" t="s">
        <v>1819</v>
      </c>
      <c r="C19" s="6">
        <v>16</v>
      </c>
      <c r="D19" s="10" t="s">
        <v>1500</v>
      </c>
      <c r="E19" s="10" t="s">
        <v>1820</v>
      </c>
      <c r="F19" s="6"/>
      <c r="G19" s="6"/>
      <c r="H19" s="6"/>
      <c r="I19" s="175">
        <f t="shared" si="0"/>
        <v>0</v>
      </c>
      <c r="J19" s="29">
        <v>770</v>
      </c>
      <c r="K19" s="168">
        <f t="shared" si="1"/>
        <v>0</v>
      </c>
    </row>
    <row r="20" spans="1:11">
      <c r="A20" s="81" t="s">
        <v>1821</v>
      </c>
      <c r="B20" s="81" t="s">
        <v>1822</v>
      </c>
      <c r="C20" s="6">
        <v>17</v>
      </c>
      <c r="D20" s="10" t="s">
        <v>1823</v>
      </c>
      <c r="E20" s="6" t="s">
        <v>1779</v>
      </c>
      <c r="F20" s="6"/>
      <c r="G20" s="6"/>
      <c r="H20" s="6"/>
      <c r="I20" s="175">
        <v>0</v>
      </c>
      <c r="J20" s="29">
        <v>550</v>
      </c>
      <c r="K20" s="168">
        <f t="shared" si="1"/>
        <v>0</v>
      </c>
    </row>
    <row r="21" spans="1:11">
      <c r="A21" s="81" t="s">
        <v>1824</v>
      </c>
      <c r="B21" s="81" t="s">
        <v>1825</v>
      </c>
      <c r="C21" s="6">
        <v>18</v>
      </c>
      <c r="D21" s="10" t="s">
        <v>1826</v>
      </c>
      <c r="E21" s="6" t="s">
        <v>1779</v>
      </c>
      <c r="F21" s="10">
        <v>0</v>
      </c>
      <c r="G21" s="6">
        <v>0</v>
      </c>
      <c r="H21" s="6">
        <v>0</v>
      </c>
      <c r="I21" s="175">
        <v>152</v>
      </c>
      <c r="J21" s="29">
        <v>900</v>
      </c>
      <c r="K21" s="168">
        <f t="shared" si="1"/>
        <v>136800</v>
      </c>
    </row>
    <row r="22" spans="1:11">
      <c r="A22" s="81" t="s">
        <v>1827</v>
      </c>
      <c r="B22" s="81" t="s">
        <v>1828</v>
      </c>
      <c r="C22" s="6">
        <v>19</v>
      </c>
      <c r="D22" s="10" t="s">
        <v>1829</v>
      </c>
      <c r="E22" s="6" t="s">
        <v>1779</v>
      </c>
      <c r="F22" s="6"/>
      <c r="G22" s="6"/>
      <c r="H22" s="6"/>
      <c r="I22" s="175">
        <v>102</v>
      </c>
      <c r="J22" s="29">
        <v>1200</v>
      </c>
      <c r="K22" s="168">
        <f t="shared" si="1"/>
        <v>122400</v>
      </c>
    </row>
    <row r="23" spans="1:11">
      <c r="A23" s="81" t="s">
        <v>1830</v>
      </c>
      <c r="B23" s="81" t="s">
        <v>1831</v>
      </c>
      <c r="C23" s="6">
        <v>20</v>
      </c>
      <c r="D23" s="10" t="s">
        <v>1832</v>
      </c>
      <c r="E23" s="6" t="s">
        <v>1783</v>
      </c>
      <c r="F23" s="6">
        <v>0</v>
      </c>
      <c r="G23" s="6">
        <f>1+5</f>
        <v>6</v>
      </c>
      <c r="H23" s="6">
        <f>1+5</f>
        <v>6</v>
      </c>
      <c r="I23" s="175">
        <f t="shared" si="0"/>
        <v>0</v>
      </c>
      <c r="J23" s="29">
        <v>900</v>
      </c>
      <c r="K23" s="168">
        <f t="shared" si="1"/>
        <v>0</v>
      </c>
    </row>
    <row r="24" spans="1:11">
      <c r="A24" s="81" t="s">
        <v>1833</v>
      </c>
      <c r="B24" s="81" t="s">
        <v>1834</v>
      </c>
      <c r="C24" s="6">
        <v>21</v>
      </c>
      <c r="D24" s="10" t="s">
        <v>1835</v>
      </c>
      <c r="E24" s="6" t="s">
        <v>1783</v>
      </c>
      <c r="F24" s="6"/>
      <c r="G24" s="6">
        <v>1</v>
      </c>
      <c r="H24" s="6">
        <v>1</v>
      </c>
      <c r="I24" s="175">
        <f t="shared" si="0"/>
        <v>0</v>
      </c>
      <c r="J24" s="29">
        <v>900</v>
      </c>
      <c r="K24" s="168">
        <f t="shared" si="1"/>
        <v>0</v>
      </c>
    </row>
    <row r="25" spans="1:11">
      <c r="A25" s="81" t="s">
        <v>1836</v>
      </c>
      <c r="B25" s="81" t="s">
        <v>1837</v>
      </c>
      <c r="C25" s="6">
        <v>22</v>
      </c>
      <c r="D25" s="10" t="s">
        <v>1838</v>
      </c>
      <c r="E25" s="6" t="s">
        <v>1783</v>
      </c>
      <c r="F25" s="6"/>
      <c r="G25" s="6"/>
      <c r="H25" s="6"/>
      <c r="I25" s="175">
        <f t="shared" si="0"/>
        <v>0</v>
      </c>
      <c r="J25" s="29">
        <v>0</v>
      </c>
      <c r="K25" s="168">
        <f t="shared" si="1"/>
        <v>0</v>
      </c>
    </row>
    <row r="26" spans="1:11">
      <c r="A26" s="81" t="s">
        <v>1839</v>
      </c>
      <c r="B26" s="81" t="s">
        <v>1840</v>
      </c>
      <c r="C26" s="6">
        <v>23</v>
      </c>
      <c r="D26" s="170" t="s">
        <v>1841</v>
      </c>
      <c r="E26" s="6" t="s">
        <v>1783</v>
      </c>
      <c r="F26" s="6">
        <v>0</v>
      </c>
      <c r="G26" s="6">
        <f>1+4+7</f>
        <v>12</v>
      </c>
      <c r="H26" s="6">
        <f>1+4+5</f>
        <v>10</v>
      </c>
      <c r="I26" s="175">
        <v>0</v>
      </c>
      <c r="J26" s="29">
        <v>1200</v>
      </c>
      <c r="K26" s="168">
        <f t="shared" si="1"/>
        <v>0</v>
      </c>
    </row>
    <row r="27" spans="1:11">
      <c r="A27" s="81" t="s">
        <v>1842</v>
      </c>
      <c r="B27" s="81" t="s">
        <v>1843</v>
      </c>
      <c r="C27" s="6">
        <v>24</v>
      </c>
      <c r="D27" s="10" t="s">
        <v>1844</v>
      </c>
      <c r="E27" s="10" t="s">
        <v>1820</v>
      </c>
      <c r="F27" s="160">
        <v>180</v>
      </c>
      <c r="G27" s="160"/>
      <c r="H27" s="160"/>
      <c r="I27" s="175">
        <f t="shared" si="0"/>
        <v>180</v>
      </c>
      <c r="J27" s="29">
        <v>450</v>
      </c>
      <c r="K27" s="168">
        <f t="shared" si="1"/>
        <v>81000</v>
      </c>
    </row>
    <row r="28" spans="1:11">
      <c r="A28" s="81" t="s">
        <v>1845</v>
      </c>
      <c r="B28" s="81" t="s">
        <v>1846</v>
      </c>
      <c r="C28" s="6">
        <v>25</v>
      </c>
      <c r="D28" s="10" t="s">
        <v>1847</v>
      </c>
      <c r="E28" s="6" t="s">
        <v>1779</v>
      </c>
      <c r="F28" s="160"/>
      <c r="G28" s="160"/>
      <c r="H28" s="160"/>
      <c r="I28" s="175">
        <f t="shared" si="0"/>
        <v>0</v>
      </c>
      <c r="J28" s="29">
        <v>550</v>
      </c>
      <c r="K28" s="168">
        <f t="shared" si="1"/>
        <v>0</v>
      </c>
    </row>
    <row r="29" spans="1:11">
      <c r="A29" s="81" t="s">
        <v>1848</v>
      </c>
      <c r="B29" s="81" t="s">
        <v>1849</v>
      </c>
      <c r="C29" s="6">
        <v>26</v>
      </c>
      <c r="D29" s="10" t="s">
        <v>1850</v>
      </c>
      <c r="E29" s="10" t="s">
        <v>1820</v>
      </c>
      <c r="F29" s="160">
        <v>238</v>
      </c>
      <c r="G29" s="160"/>
      <c r="H29" s="160"/>
      <c r="I29" s="175">
        <v>156</v>
      </c>
      <c r="J29" s="29">
        <v>550</v>
      </c>
      <c r="K29" s="168">
        <f t="shared" si="1"/>
        <v>85800</v>
      </c>
    </row>
    <row r="30" spans="1:11">
      <c r="A30" s="81" t="s">
        <v>1851</v>
      </c>
      <c r="B30" s="81" t="s">
        <v>1852</v>
      </c>
      <c r="C30" s="6">
        <v>27</v>
      </c>
      <c r="D30" s="10" t="s">
        <v>1853</v>
      </c>
      <c r="E30" s="10" t="s">
        <v>1854</v>
      </c>
      <c r="F30" s="160"/>
      <c r="G30" s="160"/>
      <c r="H30" s="160"/>
      <c r="I30" s="175">
        <f t="shared" si="0"/>
        <v>0</v>
      </c>
      <c r="J30" s="29">
        <v>1200</v>
      </c>
      <c r="K30" s="168">
        <f t="shared" si="1"/>
        <v>0</v>
      </c>
    </row>
    <row r="31" spans="1:11">
      <c r="A31" s="81" t="s">
        <v>1855</v>
      </c>
      <c r="B31" s="81" t="s">
        <v>1856</v>
      </c>
      <c r="C31" s="6">
        <v>28</v>
      </c>
      <c r="D31" s="10" t="s">
        <v>1857</v>
      </c>
      <c r="E31" s="6" t="s">
        <v>1779</v>
      </c>
      <c r="F31" s="160">
        <v>16</v>
      </c>
      <c r="G31" s="160"/>
      <c r="H31" s="160">
        <f>2+14</f>
        <v>16</v>
      </c>
      <c r="I31" s="175">
        <f t="shared" si="0"/>
        <v>0</v>
      </c>
      <c r="J31" s="29">
        <v>1300</v>
      </c>
      <c r="K31" s="168">
        <f t="shared" si="1"/>
        <v>0</v>
      </c>
    </row>
    <row r="32" spans="1:11">
      <c r="A32" s="81" t="s">
        <v>1858</v>
      </c>
      <c r="B32" s="81" t="s">
        <v>1859</v>
      </c>
      <c r="C32" s="6">
        <v>29</v>
      </c>
      <c r="D32" s="10" t="s">
        <v>1860</v>
      </c>
      <c r="E32" s="6" t="s">
        <v>1779</v>
      </c>
      <c r="F32" s="160"/>
      <c r="G32" s="160"/>
      <c r="H32" s="160"/>
      <c r="I32" s="175">
        <v>31</v>
      </c>
      <c r="J32" s="29">
        <v>395</v>
      </c>
      <c r="K32" s="168">
        <f t="shared" si="1"/>
        <v>12245</v>
      </c>
    </row>
    <row r="33" spans="1:11">
      <c r="A33" s="81" t="s">
        <v>1861</v>
      </c>
      <c r="B33" s="81" t="s">
        <v>1862</v>
      </c>
      <c r="C33" s="6">
        <v>30</v>
      </c>
      <c r="D33" s="10" t="s">
        <v>1863</v>
      </c>
      <c r="E33" s="6" t="s">
        <v>1779</v>
      </c>
      <c r="F33" s="160"/>
      <c r="G33" s="160"/>
      <c r="H33" s="160"/>
      <c r="I33" s="175">
        <f t="shared" si="0"/>
        <v>0</v>
      </c>
      <c r="J33" s="29">
        <v>0</v>
      </c>
      <c r="K33" s="168">
        <f>I33*J33</f>
        <v>0</v>
      </c>
    </row>
    <row r="34" spans="1:11">
      <c r="A34" s="81" t="s">
        <v>1864</v>
      </c>
      <c r="B34" s="81" t="s">
        <v>1865</v>
      </c>
      <c r="C34" s="6">
        <v>31</v>
      </c>
      <c r="D34" s="10" t="s">
        <v>1866</v>
      </c>
      <c r="E34" s="6" t="s">
        <v>1779</v>
      </c>
      <c r="F34" s="160"/>
      <c r="G34" s="160"/>
      <c r="H34" s="160"/>
      <c r="I34" s="175">
        <f t="shared" si="0"/>
        <v>0</v>
      </c>
      <c r="J34" s="29">
        <v>0</v>
      </c>
      <c r="K34" s="168">
        <f t="shared" si="1"/>
        <v>0</v>
      </c>
    </row>
    <row r="35" spans="1:11">
      <c r="A35" s="81" t="s">
        <v>1867</v>
      </c>
      <c r="B35" s="81" t="s">
        <v>1868</v>
      </c>
      <c r="C35" s="6">
        <v>32</v>
      </c>
      <c r="D35" s="10" t="s">
        <v>1869</v>
      </c>
      <c r="E35" s="6" t="s">
        <v>1779</v>
      </c>
      <c r="F35" s="160"/>
      <c r="G35" s="160"/>
      <c r="H35" s="160"/>
      <c r="I35" s="175">
        <f t="shared" si="0"/>
        <v>0</v>
      </c>
      <c r="J35" s="29">
        <v>0</v>
      </c>
      <c r="K35" s="168">
        <f t="shared" si="1"/>
        <v>0</v>
      </c>
    </row>
    <row r="36" spans="1:11">
      <c r="A36" s="81" t="s">
        <v>1870</v>
      </c>
      <c r="B36" s="81" t="s">
        <v>1871</v>
      </c>
      <c r="C36" s="6">
        <v>33</v>
      </c>
      <c r="D36" s="10" t="s">
        <v>1872</v>
      </c>
      <c r="E36" s="6" t="s">
        <v>1779</v>
      </c>
      <c r="F36" s="160"/>
      <c r="G36" s="160"/>
      <c r="H36" s="160"/>
      <c r="I36" s="175">
        <f t="shared" si="0"/>
        <v>0</v>
      </c>
      <c r="J36" s="29">
        <v>0</v>
      </c>
      <c r="K36" s="168">
        <f t="shared" si="1"/>
        <v>0</v>
      </c>
    </row>
    <row r="37" spans="1:11">
      <c r="A37" s="81" t="s">
        <v>1873</v>
      </c>
      <c r="B37" s="81" t="s">
        <v>1874</v>
      </c>
      <c r="C37" s="6">
        <v>34</v>
      </c>
      <c r="D37" s="10" t="s">
        <v>1875</v>
      </c>
      <c r="E37" s="10" t="s">
        <v>1783</v>
      </c>
      <c r="F37" s="160"/>
      <c r="G37" s="160">
        <f>10+50+2+3+100+30+5+3</f>
        <v>203</v>
      </c>
      <c r="H37" s="160">
        <f>3+30+10+30+3+4+100+2+21</f>
        <v>203</v>
      </c>
      <c r="I37" s="175">
        <v>0</v>
      </c>
      <c r="J37" s="29">
        <v>1200</v>
      </c>
      <c r="K37" s="168">
        <f t="shared" si="1"/>
        <v>0</v>
      </c>
    </row>
    <row r="38" spans="1:11">
      <c r="A38" s="81" t="s">
        <v>1876</v>
      </c>
      <c r="B38" s="81" t="s">
        <v>1877</v>
      </c>
      <c r="C38" s="6">
        <v>35</v>
      </c>
      <c r="D38" s="10" t="s">
        <v>1878</v>
      </c>
      <c r="E38" s="10" t="s">
        <v>1783</v>
      </c>
      <c r="F38" s="160">
        <v>0</v>
      </c>
      <c r="G38" s="160">
        <v>1</v>
      </c>
      <c r="H38" s="160">
        <v>1</v>
      </c>
      <c r="I38" s="175">
        <f t="shared" si="0"/>
        <v>0</v>
      </c>
      <c r="J38" s="29">
        <v>800</v>
      </c>
      <c r="K38" s="168">
        <f t="shared" si="1"/>
        <v>0</v>
      </c>
    </row>
    <row r="39" spans="1:11" ht="15.75" thickBot="1">
      <c r="A39" s="81"/>
      <c r="B39" s="81"/>
      <c r="C39" s="6"/>
      <c r="D39" s="10"/>
      <c r="E39" s="10"/>
      <c r="F39" s="171"/>
      <c r="G39" s="45"/>
      <c r="H39" s="45"/>
      <c r="I39" s="45"/>
      <c r="J39" s="172" t="s">
        <v>146</v>
      </c>
      <c r="K39" s="173">
        <f>SUM(K4:K38)</f>
        <v>5066585</v>
      </c>
    </row>
  </sheetData>
  <mergeCells count="1">
    <mergeCell ref="A1:K1"/>
  </mergeCells>
  <pageMargins left="0.7" right="0.7" top="0.75" bottom="0.75" header="0.3" footer="0.3"/>
  <pageSetup scale="8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2:K17"/>
  <sheetViews>
    <sheetView workbookViewId="0">
      <selection activeCell="E22" sqref="E22"/>
    </sheetView>
  </sheetViews>
  <sheetFormatPr defaultRowHeight="15"/>
  <cols>
    <col min="1" max="1" width="19.7109375" bestFit="1" customWidth="1"/>
    <col min="2" max="2" width="13.85546875" bestFit="1" customWidth="1"/>
    <col min="4" max="4" width="33.140625" style="87" customWidth="1"/>
    <col min="5" max="5" width="12.7109375" bestFit="1" customWidth="1"/>
    <col min="10" max="10" width="10.85546875" style="87" bestFit="1" customWidth="1"/>
    <col min="11" max="11" width="9.5703125" bestFit="1" customWidth="1"/>
  </cols>
  <sheetData>
    <row r="2" spans="1:11" ht="15.75" thickBot="1"/>
    <row r="3" spans="1:11" ht="15.75" thickBot="1">
      <c r="A3" s="315" t="s">
        <v>619</v>
      </c>
      <c r="B3" s="316"/>
      <c r="C3" s="316"/>
      <c r="D3" s="316"/>
      <c r="E3" s="316"/>
      <c r="F3" s="316"/>
      <c r="G3" s="316"/>
      <c r="H3" s="316"/>
      <c r="I3" s="316"/>
      <c r="J3" s="316"/>
      <c r="K3" s="317"/>
    </row>
    <row r="4" spans="1:11" ht="15.75" thickBot="1"/>
    <row r="5" spans="1:11">
      <c r="A5" s="36" t="s">
        <v>349</v>
      </c>
      <c r="B5" s="40" t="s">
        <v>150</v>
      </c>
      <c r="C5" s="33" t="s">
        <v>0</v>
      </c>
      <c r="D5" s="33" t="s">
        <v>1</v>
      </c>
      <c r="E5" s="33" t="s">
        <v>2</v>
      </c>
      <c r="F5" s="33" t="s">
        <v>3</v>
      </c>
      <c r="G5" s="33" t="s">
        <v>1298</v>
      </c>
      <c r="H5" s="33" t="s">
        <v>1297</v>
      </c>
      <c r="I5" s="33" t="s">
        <v>1296</v>
      </c>
      <c r="J5" s="34" t="s">
        <v>131</v>
      </c>
      <c r="K5" s="35" t="s">
        <v>136</v>
      </c>
    </row>
    <row r="6" spans="1:11">
      <c r="A6" s="266" t="s">
        <v>365</v>
      </c>
      <c r="B6" s="170" t="s">
        <v>330</v>
      </c>
      <c r="C6" s="6">
        <v>1</v>
      </c>
      <c r="D6" s="6" t="s">
        <v>1195</v>
      </c>
      <c r="E6" s="6" t="s">
        <v>85</v>
      </c>
      <c r="F6" s="6">
        <v>30</v>
      </c>
      <c r="G6" s="6"/>
      <c r="H6" s="6"/>
      <c r="I6" s="6">
        <f>F6+G6-H6</f>
        <v>30</v>
      </c>
      <c r="J6" s="136">
        <v>2.2999999999999998</v>
      </c>
      <c r="K6" s="273">
        <f>I6*J6</f>
        <v>69</v>
      </c>
    </row>
    <row r="7" spans="1:11">
      <c r="A7" s="266" t="s">
        <v>366</v>
      </c>
      <c r="B7" s="170" t="s">
        <v>331</v>
      </c>
      <c r="C7" s="6">
        <v>2</v>
      </c>
      <c r="D7" s="6" t="s">
        <v>86</v>
      </c>
      <c r="E7" s="6" t="s">
        <v>85</v>
      </c>
      <c r="F7" s="6"/>
      <c r="G7" s="6"/>
      <c r="H7" s="6"/>
      <c r="I7" s="6">
        <f t="shared" ref="I7:I16" si="0">F7+G7-H7</f>
        <v>0</v>
      </c>
      <c r="J7" s="136">
        <v>3</v>
      </c>
      <c r="K7" s="273">
        <f t="shared" ref="K7:K16" si="1">I7*J7</f>
        <v>0</v>
      </c>
    </row>
    <row r="8" spans="1:11">
      <c r="A8" s="266" t="s">
        <v>875</v>
      </c>
      <c r="B8" s="170" t="s">
        <v>876</v>
      </c>
      <c r="C8" s="6">
        <v>3</v>
      </c>
      <c r="D8" s="242" t="s">
        <v>877</v>
      </c>
      <c r="E8" s="6" t="s">
        <v>85</v>
      </c>
      <c r="F8" s="6">
        <f>471+616</f>
        <v>1087</v>
      </c>
      <c r="G8" s="6">
        <f>1750+1000+1500+3500+3000</f>
        <v>10750</v>
      </c>
      <c r="H8" s="6">
        <f>10+10+400+2+702+1000+1+1600+5+15</f>
        <v>3745</v>
      </c>
      <c r="I8" s="6">
        <f t="shared" si="0"/>
        <v>8092</v>
      </c>
      <c r="J8" s="136">
        <v>3.25</v>
      </c>
      <c r="K8" s="273">
        <f t="shared" si="1"/>
        <v>26299</v>
      </c>
    </row>
    <row r="9" spans="1:11">
      <c r="A9" s="266" t="s">
        <v>881</v>
      </c>
      <c r="B9" s="170" t="s">
        <v>880</v>
      </c>
      <c r="C9" s="6">
        <v>4</v>
      </c>
      <c r="D9" s="242" t="s">
        <v>878</v>
      </c>
      <c r="E9" s="6" t="s">
        <v>879</v>
      </c>
      <c r="F9" s="6">
        <f>1500+500</f>
        <v>2000</v>
      </c>
      <c r="G9" s="6"/>
      <c r="H9" s="6"/>
      <c r="I9" s="6">
        <f t="shared" si="0"/>
        <v>2000</v>
      </c>
      <c r="J9" s="136">
        <v>2.85</v>
      </c>
      <c r="K9" s="273">
        <f t="shared" si="1"/>
        <v>5700</v>
      </c>
    </row>
    <row r="10" spans="1:11">
      <c r="A10" s="266" t="s">
        <v>915</v>
      </c>
      <c r="B10" s="170" t="s">
        <v>916</v>
      </c>
      <c r="C10" s="6">
        <v>5</v>
      </c>
      <c r="D10" s="242" t="s">
        <v>2006</v>
      </c>
      <c r="E10" s="6" t="s">
        <v>85</v>
      </c>
      <c r="F10" s="6">
        <f>471</f>
        <v>471</v>
      </c>
      <c r="G10" s="6">
        <f>12000+4000+1000+4000</f>
        <v>21000</v>
      </c>
      <c r="H10" s="6"/>
      <c r="I10" s="6">
        <f t="shared" si="0"/>
        <v>21471</v>
      </c>
      <c r="J10" s="136">
        <v>2.9</v>
      </c>
      <c r="K10" s="273">
        <f t="shared" si="1"/>
        <v>62265.9</v>
      </c>
    </row>
    <row r="11" spans="1:11">
      <c r="A11" s="266"/>
      <c r="B11" s="170" t="s">
        <v>2048</v>
      </c>
      <c r="C11" s="6">
        <v>6</v>
      </c>
      <c r="D11" s="242" t="s">
        <v>2164</v>
      </c>
      <c r="E11" s="6" t="s">
        <v>85</v>
      </c>
      <c r="F11" s="6"/>
      <c r="G11" s="136"/>
      <c r="H11" s="6"/>
      <c r="I11" s="6"/>
      <c r="J11" s="136">
        <v>2.9</v>
      </c>
      <c r="K11" s="273"/>
    </row>
    <row r="12" spans="1:11">
      <c r="A12" s="266"/>
      <c r="B12" s="170" t="s">
        <v>2049</v>
      </c>
      <c r="C12" s="6">
        <v>6</v>
      </c>
      <c r="D12" s="242" t="s">
        <v>1193</v>
      </c>
      <c r="E12" s="6" t="s">
        <v>85</v>
      </c>
      <c r="F12" s="6">
        <v>22</v>
      </c>
      <c r="G12" s="6"/>
      <c r="H12" s="6">
        <v>2</v>
      </c>
      <c r="I12" s="6">
        <f t="shared" si="0"/>
        <v>20</v>
      </c>
      <c r="J12" s="136">
        <v>4</v>
      </c>
      <c r="K12" s="273">
        <f t="shared" si="1"/>
        <v>80</v>
      </c>
    </row>
    <row r="13" spans="1:11">
      <c r="A13" s="266"/>
      <c r="B13" s="170" t="s">
        <v>2050</v>
      </c>
      <c r="C13" s="6">
        <v>7</v>
      </c>
      <c r="D13" s="242" t="s">
        <v>1194</v>
      </c>
      <c r="E13" s="6" t="s">
        <v>85</v>
      </c>
      <c r="F13" s="6">
        <v>63</v>
      </c>
      <c r="G13" s="6">
        <v>3000</v>
      </c>
      <c r="H13" s="6"/>
      <c r="I13" s="6">
        <v>2000</v>
      </c>
      <c r="J13" s="136">
        <v>3</v>
      </c>
      <c r="K13" s="273">
        <f t="shared" si="1"/>
        <v>6000</v>
      </c>
    </row>
    <row r="14" spans="1:11">
      <c r="A14" s="266"/>
      <c r="B14" s="170" t="s">
        <v>2163</v>
      </c>
      <c r="C14" s="6">
        <v>8</v>
      </c>
      <c r="D14" s="242" t="s">
        <v>1196</v>
      </c>
      <c r="E14" s="6" t="s">
        <v>85</v>
      </c>
      <c r="F14" s="6">
        <v>14</v>
      </c>
      <c r="G14" s="6"/>
      <c r="H14" s="6"/>
      <c r="I14" s="6">
        <f t="shared" si="0"/>
        <v>14</v>
      </c>
      <c r="J14" s="136">
        <v>4.5</v>
      </c>
      <c r="K14" s="273">
        <f t="shared" si="1"/>
        <v>63</v>
      </c>
    </row>
    <row r="15" spans="1:11">
      <c r="A15" s="274"/>
      <c r="B15" s="170" t="s">
        <v>2165</v>
      </c>
      <c r="C15" s="6">
        <v>10</v>
      </c>
      <c r="D15" s="270" t="s">
        <v>2166</v>
      </c>
      <c r="E15" s="6" t="s">
        <v>879</v>
      </c>
      <c r="F15" s="205"/>
      <c r="G15" s="205"/>
      <c r="H15" s="205"/>
      <c r="I15" s="205"/>
      <c r="J15" s="271"/>
      <c r="K15" s="275"/>
    </row>
    <row r="16" spans="1:11" ht="15.75" thickBot="1">
      <c r="A16" s="267"/>
      <c r="B16" s="268" t="s">
        <v>1138</v>
      </c>
      <c r="C16" s="249">
        <v>9</v>
      </c>
      <c r="D16" s="278" t="s">
        <v>1400</v>
      </c>
      <c r="E16" s="272" t="s">
        <v>1139</v>
      </c>
      <c r="F16" s="272">
        <v>0</v>
      </c>
      <c r="G16" s="272">
        <v>10000</v>
      </c>
      <c r="H16" s="272">
        <v>200</v>
      </c>
      <c r="I16" s="249">
        <f t="shared" si="0"/>
        <v>9800</v>
      </c>
      <c r="J16" s="276">
        <v>2.75</v>
      </c>
      <c r="K16" s="277">
        <f t="shared" si="1"/>
        <v>26950</v>
      </c>
    </row>
    <row r="17" spans="10:11" ht="15.75" thickBot="1">
      <c r="J17" s="199" t="s">
        <v>146</v>
      </c>
      <c r="K17" s="200">
        <f>SUM(K6:K16)</f>
        <v>127426.9</v>
      </c>
    </row>
  </sheetData>
  <mergeCells count="1">
    <mergeCell ref="A3:K3"/>
  </mergeCells>
  <pageMargins left="0.7" right="0.7" top="0.75" bottom="0.75" header="0.3" footer="0.3"/>
  <pageSetup scale="8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2:K12"/>
  <sheetViews>
    <sheetView workbookViewId="0">
      <selection activeCell="D14" sqref="D14"/>
    </sheetView>
  </sheetViews>
  <sheetFormatPr defaultRowHeight="15"/>
  <cols>
    <col min="1" max="1" width="19.7109375" bestFit="1" customWidth="1"/>
    <col min="2" max="2" width="13.85546875" bestFit="1" customWidth="1"/>
    <col min="4" max="4" width="27.7109375" bestFit="1" customWidth="1"/>
    <col min="5" max="5" width="12.7109375" bestFit="1" customWidth="1"/>
    <col min="10" max="10" width="10.85546875" bestFit="1" customWidth="1"/>
    <col min="11" max="11" width="9.42578125" bestFit="1" customWidth="1"/>
  </cols>
  <sheetData>
    <row r="2" spans="1:11" ht="15.75" thickBot="1"/>
    <row r="3" spans="1:11" ht="15.75" thickBot="1">
      <c r="A3" s="321" t="s">
        <v>620</v>
      </c>
      <c r="B3" s="322"/>
      <c r="C3" s="322"/>
      <c r="D3" s="322"/>
      <c r="E3" s="322"/>
      <c r="F3" s="322"/>
      <c r="G3" s="322"/>
      <c r="H3" s="322"/>
      <c r="I3" s="322"/>
      <c r="J3" s="322"/>
      <c r="K3" s="323"/>
    </row>
    <row r="4" spans="1:11" ht="15.75" thickBot="1"/>
    <row r="5" spans="1:11">
      <c r="A5" s="36" t="s">
        <v>349</v>
      </c>
      <c r="B5" s="40" t="s">
        <v>150</v>
      </c>
      <c r="C5" s="33" t="s">
        <v>0</v>
      </c>
      <c r="D5" s="33" t="s">
        <v>1</v>
      </c>
      <c r="E5" s="33" t="s">
        <v>2</v>
      </c>
      <c r="F5" s="33" t="s">
        <v>3</v>
      </c>
      <c r="G5" s="33" t="s">
        <v>1298</v>
      </c>
      <c r="H5" s="33" t="s">
        <v>1297</v>
      </c>
      <c r="I5" s="33" t="s">
        <v>1296</v>
      </c>
      <c r="J5" s="34" t="s">
        <v>131</v>
      </c>
      <c r="K5" s="35" t="s">
        <v>136</v>
      </c>
    </row>
    <row r="6" spans="1:11">
      <c r="A6" s="26" t="s">
        <v>363</v>
      </c>
      <c r="B6" s="15" t="s">
        <v>332</v>
      </c>
      <c r="C6" s="5">
        <v>1</v>
      </c>
      <c r="D6" s="9" t="s">
        <v>140</v>
      </c>
      <c r="E6" s="9" t="s">
        <v>139</v>
      </c>
      <c r="F6" s="5">
        <v>13</v>
      </c>
      <c r="G6" s="5">
        <v>12</v>
      </c>
      <c r="H6" s="5">
        <f>1+2</f>
        <v>3</v>
      </c>
      <c r="I6" s="9">
        <f>F6+G6-H6</f>
        <v>22</v>
      </c>
      <c r="J6" s="29">
        <v>190</v>
      </c>
      <c r="K6" s="31">
        <f>I6*J6</f>
        <v>4180</v>
      </c>
    </row>
    <row r="7" spans="1:11">
      <c r="A7" s="26" t="s">
        <v>364</v>
      </c>
      <c r="B7" s="15" t="s">
        <v>333</v>
      </c>
      <c r="C7" s="5">
        <v>2</v>
      </c>
      <c r="D7" s="9" t="s">
        <v>559</v>
      </c>
      <c r="E7" s="9" t="s">
        <v>139</v>
      </c>
      <c r="F7" s="5">
        <v>30</v>
      </c>
      <c r="G7" s="5">
        <v>13</v>
      </c>
      <c r="H7" s="5"/>
      <c r="I7" s="9">
        <f t="shared" ref="I7" si="0">F7+G7-H7</f>
        <v>43</v>
      </c>
      <c r="J7" s="29">
        <v>190</v>
      </c>
      <c r="K7" s="31">
        <f>I7*J7</f>
        <v>8170</v>
      </c>
    </row>
    <row r="8" spans="1:11">
      <c r="A8" s="63"/>
      <c r="B8" s="15" t="s">
        <v>1370</v>
      </c>
      <c r="C8" s="5">
        <v>3</v>
      </c>
      <c r="D8" s="9" t="s">
        <v>2162</v>
      </c>
      <c r="E8" s="9" t="s">
        <v>633</v>
      </c>
      <c r="F8" s="5">
        <v>0</v>
      </c>
      <c r="G8" s="5">
        <f>10+10</f>
        <v>20</v>
      </c>
      <c r="H8" s="5">
        <f>1+2+4+1+1+1+2</f>
        <v>12</v>
      </c>
      <c r="I8" s="9">
        <f>F8+G8-H8</f>
        <v>8</v>
      </c>
      <c r="J8" s="29">
        <v>975</v>
      </c>
      <c r="K8" s="31">
        <f>I8*J8</f>
        <v>7800</v>
      </c>
    </row>
    <row r="9" spans="1:11">
      <c r="A9" s="234"/>
      <c r="B9" s="15" t="s">
        <v>2158</v>
      </c>
      <c r="C9" s="3">
        <v>4</v>
      </c>
      <c r="D9" s="231" t="s">
        <v>2159</v>
      </c>
      <c r="E9" s="18" t="s">
        <v>139</v>
      </c>
      <c r="F9" s="153"/>
      <c r="G9" s="153"/>
      <c r="H9" s="153"/>
      <c r="I9" s="232"/>
      <c r="J9" s="233"/>
      <c r="K9" s="98"/>
    </row>
    <row r="10" spans="1:11">
      <c r="A10" s="234"/>
      <c r="B10" s="15" t="s">
        <v>2160</v>
      </c>
      <c r="C10" s="5">
        <v>5</v>
      </c>
      <c r="D10" s="230" t="s">
        <v>2161</v>
      </c>
      <c r="E10" s="9" t="s">
        <v>139</v>
      </c>
      <c r="F10" s="53"/>
      <c r="G10" s="53"/>
      <c r="H10" s="53"/>
      <c r="I10" s="227"/>
      <c r="J10" s="122"/>
      <c r="K10" s="228"/>
    </row>
    <row r="11" spans="1:11" ht="15.75" thickBot="1">
      <c r="A11" s="27"/>
      <c r="B11" s="42"/>
      <c r="C11" s="43"/>
      <c r="D11" s="229"/>
      <c r="E11" s="229"/>
      <c r="F11" s="8"/>
      <c r="G11" s="8"/>
      <c r="H11" s="8"/>
      <c r="I11" s="37"/>
      <c r="J11" s="156"/>
      <c r="K11" s="32"/>
    </row>
    <row r="12" spans="1:11" ht="15.75" thickBot="1">
      <c r="J12" s="129" t="s">
        <v>146</v>
      </c>
      <c r="K12" s="130">
        <f>SUM(K6:K11)</f>
        <v>20150</v>
      </c>
    </row>
  </sheetData>
  <mergeCells count="1">
    <mergeCell ref="A3:K3"/>
  </mergeCells>
  <pageMargins left="0.7" right="0.7" top="0.75" bottom="0.75" header="0.3" footer="0.3"/>
  <pageSetup scale="8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2:L80"/>
  <sheetViews>
    <sheetView workbookViewId="0">
      <selection activeCell="D18" sqref="D18"/>
    </sheetView>
  </sheetViews>
  <sheetFormatPr defaultRowHeight="15"/>
  <cols>
    <col min="1" max="1" width="19.7109375" bestFit="1" customWidth="1"/>
    <col min="2" max="2" width="13.85546875" bestFit="1" customWidth="1"/>
    <col min="4" max="4" width="45.42578125" customWidth="1"/>
    <col min="5" max="5" width="34" customWidth="1"/>
    <col min="6" max="6" width="8.5703125" bestFit="1" customWidth="1"/>
    <col min="7" max="9" width="8.5703125" customWidth="1"/>
    <col min="10" max="10" width="10.85546875" bestFit="1" customWidth="1"/>
    <col min="11" max="11" width="9.42578125" bestFit="1" customWidth="1"/>
  </cols>
  <sheetData>
    <row r="2" spans="1:12" ht="15.75" thickBot="1"/>
    <row r="3" spans="1:12" ht="15.75" thickBot="1">
      <c r="A3" s="321" t="s">
        <v>624</v>
      </c>
      <c r="B3" s="322"/>
      <c r="C3" s="322"/>
      <c r="D3" s="322"/>
      <c r="E3" s="322"/>
      <c r="F3" s="322"/>
      <c r="G3" s="322"/>
      <c r="H3" s="322"/>
      <c r="I3" s="322"/>
      <c r="J3" s="322"/>
      <c r="K3" s="323"/>
    </row>
    <row r="4" spans="1:12" ht="15.75" thickBot="1"/>
    <row r="5" spans="1:12" ht="15.75" thickBot="1">
      <c r="A5" s="59" t="s">
        <v>349</v>
      </c>
      <c r="B5" s="60" t="s">
        <v>150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1301</v>
      </c>
      <c r="H5" s="1" t="s">
        <v>1297</v>
      </c>
      <c r="I5" s="1" t="s">
        <v>1296</v>
      </c>
      <c r="J5" s="23" t="s">
        <v>131</v>
      </c>
      <c r="K5" s="2" t="s">
        <v>136</v>
      </c>
    </row>
    <row r="6" spans="1:12">
      <c r="A6" s="279" t="s">
        <v>360</v>
      </c>
      <c r="B6" s="3" t="s">
        <v>325</v>
      </c>
      <c r="C6" s="3">
        <v>1</v>
      </c>
      <c r="D6" s="3" t="s">
        <v>92</v>
      </c>
      <c r="E6" s="3" t="s">
        <v>93</v>
      </c>
      <c r="F6" s="3">
        <v>0</v>
      </c>
      <c r="G6" s="3"/>
      <c r="H6" s="3"/>
      <c r="I6" s="3">
        <f>F6+G6-H6</f>
        <v>0</v>
      </c>
      <c r="J6" s="280">
        <v>150</v>
      </c>
      <c r="K6" s="281">
        <f>I6*J6</f>
        <v>0</v>
      </c>
    </row>
    <row r="7" spans="1:12">
      <c r="A7" s="190" t="s">
        <v>361</v>
      </c>
      <c r="B7" s="5" t="s">
        <v>326</v>
      </c>
      <c r="C7" s="5">
        <v>2</v>
      </c>
      <c r="D7" s="5" t="s">
        <v>125</v>
      </c>
      <c r="E7" s="5" t="s">
        <v>126</v>
      </c>
      <c r="F7" s="3">
        <v>0</v>
      </c>
      <c r="G7" s="3"/>
      <c r="H7" s="3"/>
      <c r="I7" s="3">
        <f t="shared" ref="I7:I42" si="0">F7+G7-H7</f>
        <v>0</v>
      </c>
      <c r="J7" s="136">
        <v>5</v>
      </c>
      <c r="K7" s="281">
        <f t="shared" ref="K7:K42" si="1">I7*J7</f>
        <v>0</v>
      </c>
    </row>
    <row r="8" spans="1:12">
      <c r="A8" s="190" t="s">
        <v>362</v>
      </c>
      <c r="B8" s="5" t="s">
        <v>327</v>
      </c>
      <c r="C8" s="5">
        <v>3</v>
      </c>
      <c r="D8" s="5" t="s">
        <v>127</v>
      </c>
      <c r="E8" s="5" t="s">
        <v>126</v>
      </c>
      <c r="F8" s="5"/>
      <c r="G8" s="5"/>
      <c r="H8" s="5"/>
      <c r="I8" s="3">
        <f t="shared" si="0"/>
        <v>0</v>
      </c>
      <c r="J8" s="136">
        <v>5</v>
      </c>
      <c r="K8" s="281">
        <f t="shared" si="1"/>
        <v>0</v>
      </c>
    </row>
    <row r="9" spans="1:12">
      <c r="A9" s="190" t="s">
        <v>540</v>
      </c>
      <c r="B9" s="5" t="s">
        <v>328</v>
      </c>
      <c r="C9" s="3">
        <v>4</v>
      </c>
      <c r="D9" s="4" t="s">
        <v>141</v>
      </c>
      <c r="E9" s="4" t="s">
        <v>138</v>
      </c>
      <c r="F9" s="4"/>
      <c r="G9" s="4"/>
      <c r="H9" s="4"/>
      <c r="I9" s="3">
        <f t="shared" si="0"/>
        <v>0</v>
      </c>
      <c r="J9" s="136">
        <v>38</v>
      </c>
      <c r="K9" s="281">
        <f t="shared" si="1"/>
        <v>0</v>
      </c>
    </row>
    <row r="10" spans="1:12">
      <c r="A10" s="190" t="s">
        <v>541</v>
      </c>
      <c r="B10" s="5" t="s">
        <v>329</v>
      </c>
      <c r="C10" s="5">
        <v>5</v>
      </c>
      <c r="D10" s="285" t="s">
        <v>578</v>
      </c>
      <c r="E10" s="286" t="s">
        <v>579</v>
      </c>
      <c r="F10" s="4"/>
      <c r="G10" s="4"/>
      <c r="H10" s="4"/>
      <c r="I10" s="3">
        <v>5</v>
      </c>
      <c r="J10" s="136">
        <v>38</v>
      </c>
      <c r="K10" s="281">
        <f t="shared" si="1"/>
        <v>190</v>
      </c>
    </row>
    <row r="11" spans="1:12">
      <c r="A11" s="190" t="s">
        <v>552</v>
      </c>
      <c r="B11" s="5" t="s">
        <v>542</v>
      </c>
      <c r="C11" s="5">
        <v>6</v>
      </c>
      <c r="D11" s="287" t="s">
        <v>544</v>
      </c>
      <c r="E11" s="285" t="s">
        <v>545</v>
      </c>
      <c r="F11" s="4"/>
      <c r="G11" s="4"/>
      <c r="H11" s="4"/>
      <c r="I11" s="3">
        <f t="shared" si="0"/>
        <v>0</v>
      </c>
      <c r="J11" s="136">
        <v>2</v>
      </c>
      <c r="K11" s="281">
        <f t="shared" si="1"/>
        <v>0</v>
      </c>
    </row>
    <row r="12" spans="1:12" ht="30">
      <c r="A12" s="190" t="s">
        <v>553</v>
      </c>
      <c r="B12" s="5" t="s">
        <v>543</v>
      </c>
      <c r="C12" s="3">
        <v>7</v>
      </c>
      <c r="D12" s="287" t="s">
        <v>550</v>
      </c>
      <c r="E12" s="285" t="s">
        <v>551</v>
      </c>
      <c r="F12" s="4"/>
      <c r="G12" s="4"/>
      <c r="H12" s="4"/>
      <c r="I12" s="3">
        <f t="shared" si="0"/>
        <v>0</v>
      </c>
      <c r="J12" s="136">
        <v>200</v>
      </c>
      <c r="K12" s="281">
        <f t="shared" si="1"/>
        <v>0</v>
      </c>
    </row>
    <row r="13" spans="1:12">
      <c r="A13" s="282" t="s">
        <v>558</v>
      </c>
      <c r="B13" s="5" t="s">
        <v>554</v>
      </c>
      <c r="C13" s="5">
        <v>8</v>
      </c>
      <c r="D13" s="287" t="s">
        <v>1373</v>
      </c>
      <c r="E13" s="285" t="s">
        <v>557</v>
      </c>
      <c r="F13" s="4"/>
      <c r="G13" s="4">
        <v>100</v>
      </c>
      <c r="H13" s="4">
        <v>100</v>
      </c>
      <c r="I13" s="3">
        <f t="shared" si="0"/>
        <v>0</v>
      </c>
      <c r="J13" s="136">
        <v>1.65</v>
      </c>
      <c r="K13" s="281">
        <f t="shared" si="1"/>
        <v>0</v>
      </c>
    </row>
    <row r="14" spans="1:12">
      <c r="A14" s="190" t="s">
        <v>562</v>
      </c>
      <c r="B14" s="5" t="s">
        <v>555</v>
      </c>
      <c r="C14" s="5">
        <v>9</v>
      </c>
      <c r="D14" s="285" t="s">
        <v>561</v>
      </c>
      <c r="E14" s="287" t="s">
        <v>560</v>
      </c>
      <c r="F14" s="4"/>
      <c r="G14" s="4">
        <v>5</v>
      </c>
      <c r="H14" s="4"/>
      <c r="I14" s="3">
        <f t="shared" si="0"/>
        <v>5</v>
      </c>
      <c r="J14" s="136">
        <v>80</v>
      </c>
      <c r="K14" s="281">
        <f t="shared" si="1"/>
        <v>400</v>
      </c>
      <c r="L14" t="s">
        <v>1419</v>
      </c>
    </row>
    <row r="15" spans="1:12">
      <c r="A15" s="190" t="s">
        <v>569</v>
      </c>
      <c r="B15" s="5" t="s">
        <v>556</v>
      </c>
      <c r="C15" s="3">
        <v>10</v>
      </c>
      <c r="D15" s="285" t="s">
        <v>567</v>
      </c>
      <c r="E15" s="286" t="s">
        <v>568</v>
      </c>
      <c r="F15" s="4"/>
      <c r="G15" s="4"/>
      <c r="H15" s="4"/>
      <c r="I15" s="3">
        <f t="shared" si="0"/>
        <v>0</v>
      </c>
      <c r="J15" s="136">
        <v>675</v>
      </c>
      <c r="K15" s="281">
        <f t="shared" si="1"/>
        <v>0</v>
      </c>
    </row>
    <row r="16" spans="1:12">
      <c r="A16" s="190" t="s">
        <v>570</v>
      </c>
      <c r="B16" s="5" t="s">
        <v>563</v>
      </c>
      <c r="C16" s="5">
        <v>11</v>
      </c>
      <c r="D16" s="285" t="s">
        <v>571</v>
      </c>
      <c r="E16" s="287" t="s">
        <v>572</v>
      </c>
      <c r="F16" s="5"/>
      <c r="G16" s="5"/>
      <c r="H16" s="5"/>
      <c r="I16" s="3">
        <f t="shared" si="0"/>
        <v>0</v>
      </c>
      <c r="J16" s="136">
        <v>500</v>
      </c>
      <c r="K16" s="281">
        <f t="shared" si="1"/>
        <v>0</v>
      </c>
    </row>
    <row r="17" spans="1:11">
      <c r="A17" s="190" t="s">
        <v>573</v>
      </c>
      <c r="B17" s="5" t="s">
        <v>564</v>
      </c>
      <c r="C17" s="5">
        <v>12</v>
      </c>
      <c r="D17" s="285" t="s">
        <v>574</v>
      </c>
      <c r="E17" s="150" t="s">
        <v>575</v>
      </c>
      <c r="F17" s="5">
        <v>0</v>
      </c>
      <c r="G17" s="5">
        <v>5</v>
      </c>
      <c r="H17" s="5"/>
      <c r="I17" s="3">
        <f t="shared" si="0"/>
        <v>5</v>
      </c>
      <c r="J17" s="136">
        <v>95</v>
      </c>
      <c r="K17" s="281">
        <f t="shared" si="1"/>
        <v>475</v>
      </c>
    </row>
    <row r="18" spans="1:11">
      <c r="A18" s="190" t="s">
        <v>580</v>
      </c>
      <c r="B18" s="5" t="s">
        <v>565</v>
      </c>
      <c r="C18" s="3">
        <v>13</v>
      </c>
      <c r="D18" s="285" t="s">
        <v>576</v>
      </c>
      <c r="E18" s="7" t="s">
        <v>577</v>
      </c>
      <c r="F18" s="5"/>
      <c r="G18" s="5"/>
      <c r="H18" s="5"/>
      <c r="I18" s="3">
        <v>2</v>
      </c>
      <c r="J18" s="136">
        <v>100</v>
      </c>
      <c r="K18" s="281">
        <f t="shared" si="1"/>
        <v>200</v>
      </c>
    </row>
    <row r="19" spans="1:11">
      <c r="A19" s="282" t="s">
        <v>584</v>
      </c>
      <c r="B19" s="5" t="s">
        <v>566</v>
      </c>
      <c r="C19" s="5">
        <v>14</v>
      </c>
      <c r="D19" s="285" t="s">
        <v>585</v>
      </c>
      <c r="E19" s="286" t="s">
        <v>586</v>
      </c>
      <c r="F19" s="5"/>
      <c r="G19" s="5"/>
      <c r="H19" s="5"/>
      <c r="I19" s="3">
        <f t="shared" si="0"/>
        <v>0</v>
      </c>
      <c r="J19" s="136"/>
      <c r="K19" s="281">
        <f t="shared" si="1"/>
        <v>0</v>
      </c>
    </row>
    <row r="20" spans="1:11">
      <c r="A20" s="190" t="s">
        <v>621</v>
      </c>
      <c r="B20" s="5" t="s">
        <v>581</v>
      </c>
      <c r="C20" s="5">
        <v>15</v>
      </c>
      <c r="D20" s="287" t="s">
        <v>587</v>
      </c>
      <c r="E20" s="285" t="s">
        <v>588</v>
      </c>
      <c r="F20" s="5"/>
      <c r="G20" s="5"/>
      <c r="H20" s="5"/>
      <c r="I20" s="3">
        <f t="shared" si="0"/>
        <v>0</v>
      </c>
      <c r="J20" s="136">
        <v>1150</v>
      </c>
      <c r="K20" s="281">
        <f t="shared" si="1"/>
        <v>0</v>
      </c>
    </row>
    <row r="21" spans="1:11">
      <c r="A21" s="190" t="s">
        <v>622</v>
      </c>
      <c r="B21" s="5" t="s">
        <v>582</v>
      </c>
      <c r="C21" s="3">
        <v>16</v>
      </c>
      <c r="D21" s="285" t="s">
        <v>589</v>
      </c>
      <c r="E21" s="288" t="s">
        <v>590</v>
      </c>
      <c r="F21" s="5"/>
      <c r="G21" s="5"/>
      <c r="H21" s="5"/>
      <c r="I21" s="3">
        <f t="shared" si="0"/>
        <v>0</v>
      </c>
      <c r="J21" s="136">
        <v>300</v>
      </c>
      <c r="K21" s="281">
        <f t="shared" si="1"/>
        <v>0</v>
      </c>
    </row>
    <row r="22" spans="1:11">
      <c r="A22" s="190" t="s">
        <v>623</v>
      </c>
      <c r="B22" s="5" t="s">
        <v>583</v>
      </c>
      <c r="C22" s="5">
        <v>17</v>
      </c>
      <c r="D22" s="287" t="s">
        <v>592</v>
      </c>
      <c r="E22" s="285" t="s">
        <v>593</v>
      </c>
      <c r="F22" s="5">
        <v>0</v>
      </c>
      <c r="G22" s="5"/>
      <c r="H22" s="5"/>
      <c r="I22" s="3">
        <f t="shared" si="0"/>
        <v>0</v>
      </c>
      <c r="J22" s="136">
        <v>55</v>
      </c>
      <c r="K22" s="281">
        <f t="shared" si="1"/>
        <v>0</v>
      </c>
    </row>
    <row r="23" spans="1:11" s="105" customFormat="1">
      <c r="A23" s="108" t="s">
        <v>594</v>
      </c>
      <c r="B23" s="109" t="s">
        <v>591</v>
      </c>
      <c r="C23" s="109">
        <v>18</v>
      </c>
      <c r="D23" s="110" t="s">
        <v>137</v>
      </c>
      <c r="E23" s="109" t="s">
        <v>138</v>
      </c>
      <c r="F23" s="109"/>
      <c r="G23" s="109"/>
      <c r="H23" s="109"/>
      <c r="I23" s="3">
        <f t="shared" si="0"/>
        <v>0</v>
      </c>
      <c r="J23" s="111">
        <v>38</v>
      </c>
      <c r="K23" s="281">
        <f t="shared" si="1"/>
        <v>0</v>
      </c>
    </row>
    <row r="24" spans="1:11">
      <c r="A24" s="4" t="s">
        <v>1014</v>
      </c>
      <c r="B24" s="5" t="s">
        <v>1005</v>
      </c>
      <c r="C24" s="5">
        <v>19</v>
      </c>
      <c r="D24" s="289" t="s">
        <v>1006</v>
      </c>
      <c r="E24" s="5" t="s">
        <v>1007</v>
      </c>
      <c r="F24" s="5"/>
      <c r="G24" s="5"/>
      <c r="H24" s="5"/>
      <c r="I24" s="3">
        <f t="shared" si="0"/>
        <v>0</v>
      </c>
      <c r="J24" s="136">
        <v>450</v>
      </c>
      <c r="K24" s="281">
        <f t="shared" si="1"/>
        <v>0</v>
      </c>
    </row>
    <row r="25" spans="1:11">
      <c r="A25" s="4" t="s">
        <v>1015</v>
      </c>
      <c r="B25" s="5" t="s">
        <v>1011</v>
      </c>
      <c r="C25" s="5">
        <v>20</v>
      </c>
      <c r="D25" s="289" t="s">
        <v>1018</v>
      </c>
      <c r="E25" s="285" t="s">
        <v>585</v>
      </c>
      <c r="F25" s="5"/>
      <c r="G25" s="5"/>
      <c r="H25" s="5"/>
      <c r="I25" s="3">
        <f t="shared" si="0"/>
        <v>0</v>
      </c>
      <c r="J25" s="136">
        <v>101</v>
      </c>
      <c r="K25" s="281">
        <f t="shared" si="1"/>
        <v>0</v>
      </c>
    </row>
    <row r="26" spans="1:11">
      <c r="A26" s="4" t="s">
        <v>1016</v>
      </c>
      <c r="B26" s="5" t="s">
        <v>1012</v>
      </c>
      <c r="C26" s="5">
        <v>21</v>
      </c>
      <c r="D26" s="289" t="s">
        <v>1019</v>
      </c>
      <c r="E26" s="285" t="s">
        <v>585</v>
      </c>
      <c r="F26" s="5"/>
      <c r="G26" s="5"/>
      <c r="H26" s="5"/>
      <c r="I26" s="3">
        <f t="shared" si="0"/>
        <v>0</v>
      </c>
      <c r="J26" s="136">
        <v>69</v>
      </c>
      <c r="K26" s="281">
        <f t="shared" si="1"/>
        <v>0</v>
      </c>
    </row>
    <row r="27" spans="1:11">
      <c r="A27" s="4" t="s">
        <v>1017</v>
      </c>
      <c r="B27" s="5" t="s">
        <v>1013</v>
      </c>
      <c r="C27" s="5">
        <v>22</v>
      </c>
      <c r="D27" s="289" t="s">
        <v>1020</v>
      </c>
      <c r="E27" s="285" t="s">
        <v>585</v>
      </c>
      <c r="F27" s="5"/>
      <c r="G27" s="5"/>
      <c r="H27" s="5"/>
      <c r="I27" s="3">
        <f t="shared" si="0"/>
        <v>0</v>
      </c>
      <c r="J27" s="136">
        <v>21</v>
      </c>
      <c r="K27" s="281">
        <f t="shared" si="1"/>
        <v>0</v>
      </c>
    </row>
    <row r="28" spans="1:11">
      <c r="A28" s="4" t="s">
        <v>1021</v>
      </c>
      <c r="B28" s="5" t="s">
        <v>1022</v>
      </c>
      <c r="C28" s="5">
        <v>24</v>
      </c>
      <c r="D28" s="289" t="s">
        <v>1023</v>
      </c>
      <c r="E28" s="285" t="s">
        <v>585</v>
      </c>
      <c r="F28" s="5"/>
      <c r="G28" s="5"/>
      <c r="H28" s="5"/>
      <c r="I28" s="3">
        <f t="shared" si="0"/>
        <v>0</v>
      </c>
      <c r="J28" s="136">
        <v>9</v>
      </c>
      <c r="K28" s="281">
        <f t="shared" si="1"/>
        <v>0</v>
      </c>
    </row>
    <row r="29" spans="1:11">
      <c r="A29" s="4" t="s">
        <v>1030</v>
      </c>
      <c r="B29" s="5" t="s">
        <v>1029</v>
      </c>
      <c r="C29" s="5">
        <v>25</v>
      </c>
      <c r="D29" s="4" t="s">
        <v>1031</v>
      </c>
      <c r="E29" s="285" t="s">
        <v>585</v>
      </c>
      <c r="F29" s="5"/>
      <c r="G29" s="5"/>
      <c r="H29" s="5"/>
      <c r="I29" s="3">
        <f t="shared" si="0"/>
        <v>0</v>
      </c>
      <c r="J29" s="136">
        <v>6</v>
      </c>
      <c r="K29" s="281">
        <f t="shared" si="1"/>
        <v>0</v>
      </c>
    </row>
    <row r="30" spans="1:11">
      <c r="A30" s="4" t="s">
        <v>1058</v>
      </c>
      <c r="B30" s="5" t="s">
        <v>1056</v>
      </c>
      <c r="C30" s="5">
        <v>26</v>
      </c>
      <c r="D30" s="4" t="s">
        <v>1057</v>
      </c>
      <c r="E30" s="285" t="s">
        <v>557</v>
      </c>
      <c r="F30" s="5"/>
      <c r="G30" s="5"/>
      <c r="H30" s="5"/>
      <c r="I30" s="3">
        <f t="shared" si="0"/>
        <v>0</v>
      </c>
      <c r="J30" s="136">
        <v>9</v>
      </c>
      <c r="K30" s="281">
        <f t="shared" si="1"/>
        <v>0</v>
      </c>
    </row>
    <row r="31" spans="1:11">
      <c r="A31" s="4"/>
      <c r="B31" s="5" t="s">
        <v>1061</v>
      </c>
      <c r="C31" s="5">
        <v>27</v>
      </c>
      <c r="D31" s="4" t="s">
        <v>1062</v>
      </c>
      <c r="E31" s="285" t="s">
        <v>1063</v>
      </c>
      <c r="F31" s="5"/>
      <c r="G31" s="5"/>
      <c r="H31" s="5"/>
      <c r="I31" s="3">
        <f t="shared" si="0"/>
        <v>0</v>
      </c>
      <c r="J31" s="136">
        <v>1300</v>
      </c>
      <c r="K31" s="281">
        <f t="shared" si="1"/>
        <v>0</v>
      </c>
    </row>
    <row r="32" spans="1:11">
      <c r="A32" s="4"/>
      <c r="B32" s="5" t="s">
        <v>1126</v>
      </c>
      <c r="C32" s="5">
        <v>28</v>
      </c>
      <c r="D32" s="4" t="s">
        <v>1127</v>
      </c>
      <c r="E32" s="4" t="s">
        <v>1127</v>
      </c>
      <c r="F32" s="5">
        <v>0</v>
      </c>
      <c r="G32" s="5">
        <v>30</v>
      </c>
      <c r="H32" s="5">
        <f>5+5+3+3</f>
        <v>16</v>
      </c>
      <c r="I32" s="3">
        <v>35</v>
      </c>
      <c r="J32" s="136">
        <v>9</v>
      </c>
      <c r="K32" s="281">
        <f t="shared" si="1"/>
        <v>315</v>
      </c>
    </row>
    <row r="33" spans="1:11">
      <c r="A33" s="4"/>
      <c r="B33" s="5" t="s">
        <v>1133</v>
      </c>
      <c r="C33" s="5">
        <v>29</v>
      </c>
      <c r="D33" s="4" t="s">
        <v>1134</v>
      </c>
      <c r="E33" s="4" t="s">
        <v>1134</v>
      </c>
      <c r="F33" s="5"/>
      <c r="G33" s="5"/>
      <c r="H33" s="5"/>
      <c r="I33" s="3">
        <f t="shared" si="0"/>
        <v>0</v>
      </c>
      <c r="J33" s="136"/>
      <c r="K33" s="281">
        <f t="shared" si="1"/>
        <v>0</v>
      </c>
    </row>
    <row r="34" spans="1:11">
      <c r="A34" s="4"/>
      <c r="B34" s="5" t="s">
        <v>1147</v>
      </c>
      <c r="C34" s="5">
        <v>30</v>
      </c>
      <c r="D34" s="4" t="s">
        <v>1148</v>
      </c>
      <c r="E34" s="4" t="s">
        <v>1149</v>
      </c>
      <c r="F34" s="5"/>
      <c r="G34" s="5"/>
      <c r="H34" s="5"/>
      <c r="I34" s="3">
        <f t="shared" si="0"/>
        <v>0</v>
      </c>
      <c r="J34" s="136"/>
      <c r="K34" s="281">
        <f t="shared" si="1"/>
        <v>0</v>
      </c>
    </row>
    <row r="35" spans="1:11">
      <c r="A35" s="4"/>
      <c r="B35" s="5" t="s">
        <v>1150</v>
      </c>
      <c r="C35" s="5">
        <v>31</v>
      </c>
      <c r="D35" s="4" t="s">
        <v>1151</v>
      </c>
      <c r="E35" s="4" t="s">
        <v>1152</v>
      </c>
      <c r="F35" s="5"/>
      <c r="G35" s="5"/>
      <c r="H35" s="5"/>
      <c r="I35" s="3">
        <f t="shared" si="0"/>
        <v>0</v>
      </c>
      <c r="J35" s="136">
        <v>10</v>
      </c>
      <c r="K35" s="281">
        <f t="shared" si="1"/>
        <v>0</v>
      </c>
    </row>
    <row r="36" spans="1:11">
      <c r="A36" s="4"/>
      <c r="B36" s="5" t="s">
        <v>1338</v>
      </c>
      <c r="C36" s="5">
        <v>31</v>
      </c>
      <c r="D36" s="4" t="s">
        <v>2071</v>
      </c>
      <c r="E36" s="4" t="s">
        <v>138</v>
      </c>
      <c r="F36" s="5"/>
      <c r="G36" s="136"/>
      <c r="H36" s="262"/>
      <c r="I36" s="4"/>
      <c r="J36" s="5"/>
      <c r="K36" s="5">
        <v>0</v>
      </c>
    </row>
    <row r="37" spans="1:11">
      <c r="A37" s="4"/>
      <c r="B37" s="5" t="s">
        <v>1339</v>
      </c>
      <c r="C37" s="5">
        <v>32</v>
      </c>
      <c r="D37" s="4" t="s">
        <v>1318</v>
      </c>
      <c r="E37" s="4" t="s">
        <v>1319</v>
      </c>
      <c r="F37" s="5">
        <v>100</v>
      </c>
      <c r="G37" s="5"/>
      <c r="H37" s="5">
        <v>100</v>
      </c>
      <c r="I37" s="3">
        <f t="shared" si="0"/>
        <v>0</v>
      </c>
      <c r="J37" s="136"/>
      <c r="K37" s="281">
        <f t="shared" si="1"/>
        <v>0</v>
      </c>
    </row>
    <row r="38" spans="1:11">
      <c r="A38" s="4"/>
      <c r="B38" s="5" t="s">
        <v>1340</v>
      </c>
      <c r="C38" s="5">
        <v>38</v>
      </c>
      <c r="D38" s="4" t="s">
        <v>1346</v>
      </c>
      <c r="E38" s="4" t="s">
        <v>1347</v>
      </c>
      <c r="F38" s="5">
        <v>0</v>
      </c>
      <c r="G38" s="5">
        <f>100+100</f>
        <v>200</v>
      </c>
      <c r="H38" s="5">
        <v>200</v>
      </c>
      <c r="I38" s="3">
        <f>F38+G38-H38</f>
        <v>0</v>
      </c>
      <c r="J38" s="136">
        <v>16</v>
      </c>
      <c r="K38" s="281">
        <f>I38*J38</f>
        <v>0</v>
      </c>
    </row>
    <row r="39" spans="1:11">
      <c r="A39" s="4"/>
      <c r="B39" s="5" t="s">
        <v>1341</v>
      </c>
      <c r="C39" s="5">
        <v>34</v>
      </c>
      <c r="D39" s="4" t="s">
        <v>1321</v>
      </c>
      <c r="E39" s="4" t="s">
        <v>1321</v>
      </c>
      <c r="F39" s="5">
        <v>7</v>
      </c>
      <c r="G39" s="5"/>
      <c r="H39" s="5"/>
      <c r="I39" s="3">
        <f t="shared" si="0"/>
        <v>7</v>
      </c>
      <c r="J39" s="136"/>
      <c r="K39" s="281">
        <f t="shared" si="1"/>
        <v>0</v>
      </c>
    </row>
    <row r="40" spans="1:11">
      <c r="A40" s="4"/>
      <c r="B40" s="5" t="s">
        <v>1342</v>
      </c>
      <c r="C40" s="5">
        <v>35</v>
      </c>
      <c r="D40" s="4" t="s">
        <v>1323</v>
      </c>
      <c r="E40" s="4" t="s">
        <v>1324</v>
      </c>
      <c r="F40" s="5">
        <v>230</v>
      </c>
      <c r="G40" s="5"/>
      <c r="H40" s="5"/>
      <c r="I40" s="3">
        <f t="shared" si="0"/>
        <v>230</v>
      </c>
      <c r="J40" s="136"/>
      <c r="K40" s="281">
        <f t="shared" si="1"/>
        <v>0</v>
      </c>
    </row>
    <row r="41" spans="1:11">
      <c r="A41" s="4"/>
      <c r="B41" s="5" t="s">
        <v>1344</v>
      </c>
      <c r="C41" s="5">
        <v>36</v>
      </c>
      <c r="D41" s="4" t="s">
        <v>1336</v>
      </c>
      <c r="E41" s="4" t="s">
        <v>1337</v>
      </c>
      <c r="F41" s="5">
        <v>5</v>
      </c>
      <c r="G41" s="5">
        <v>50</v>
      </c>
      <c r="H41" s="5"/>
      <c r="I41" s="3">
        <f t="shared" si="0"/>
        <v>55</v>
      </c>
      <c r="J41" s="136">
        <v>35</v>
      </c>
      <c r="K41" s="281">
        <f t="shared" si="1"/>
        <v>1925</v>
      </c>
    </row>
    <row r="42" spans="1:11">
      <c r="A42" s="4"/>
      <c r="B42" s="5" t="s">
        <v>1350</v>
      </c>
      <c r="C42" s="5">
        <v>37</v>
      </c>
      <c r="D42" s="4" t="s">
        <v>1343</v>
      </c>
      <c r="E42" s="4" t="s">
        <v>1337</v>
      </c>
      <c r="F42" s="5">
        <v>7</v>
      </c>
      <c r="G42" s="5">
        <v>0</v>
      </c>
      <c r="H42" s="5">
        <v>1</v>
      </c>
      <c r="I42" s="3">
        <f t="shared" si="0"/>
        <v>6</v>
      </c>
      <c r="J42" s="136">
        <v>35</v>
      </c>
      <c r="K42" s="281">
        <f t="shared" si="1"/>
        <v>210</v>
      </c>
    </row>
    <row r="43" spans="1:11">
      <c r="A43" s="4"/>
      <c r="B43" s="5" t="s">
        <v>2070</v>
      </c>
      <c r="C43" s="5">
        <v>33</v>
      </c>
      <c r="D43" s="4" t="s">
        <v>1320</v>
      </c>
      <c r="E43" s="4" t="s">
        <v>1322</v>
      </c>
      <c r="F43" s="5">
        <v>49</v>
      </c>
      <c r="G43" s="5"/>
      <c r="H43" s="5">
        <f>4+30+2+10+3</f>
        <v>49</v>
      </c>
      <c r="I43" s="3">
        <f>F43+G43-H43</f>
        <v>0</v>
      </c>
      <c r="J43" s="136"/>
      <c r="K43" s="281">
        <f>I43*J43</f>
        <v>0</v>
      </c>
    </row>
    <row r="44" spans="1:11">
      <c r="A44" s="6"/>
      <c r="B44" s="6" t="s">
        <v>2072</v>
      </c>
      <c r="C44" s="6">
        <v>39</v>
      </c>
      <c r="D44" s="6" t="s">
        <v>2073</v>
      </c>
      <c r="E44" s="6" t="s">
        <v>2074</v>
      </c>
      <c r="F44" s="6"/>
      <c r="G44" s="136"/>
      <c r="H44" s="6"/>
      <c r="I44" s="3">
        <f t="shared" ref="I44:I79" si="2">F44+G44-H44</f>
        <v>0</v>
      </c>
      <c r="J44" s="136"/>
      <c r="K44" s="281">
        <f t="shared" ref="K44:K79" si="3">I44*J44</f>
        <v>0</v>
      </c>
    </row>
    <row r="45" spans="1:11">
      <c r="A45" s="170"/>
      <c r="B45" s="6" t="s">
        <v>2075</v>
      </c>
      <c r="C45" s="6">
        <v>40</v>
      </c>
      <c r="D45" s="6" t="s">
        <v>2076</v>
      </c>
      <c r="E45" s="6" t="s">
        <v>2077</v>
      </c>
      <c r="F45" s="170"/>
      <c r="G45" s="136"/>
      <c r="H45" s="170"/>
      <c r="I45" s="3">
        <f t="shared" si="2"/>
        <v>0</v>
      </c>
      <c r="J45" s="136"/>
      <c r="K45" s="281">
        <f t="shared" si="3"/>
        <v>0</v>
      </c>
    </row>
    <row r="46" spans="1:11">
      <c r="A46" s="170"/>
      <c r="B46" s="6" t="s">
        <v>2078</v>
      </c>
      <c r="C46" s="6">
        <v>41</v>
      </c>
      <c r="D46" s="6" t="s">
        <v>2079</v>
      </c>
      <c r="E46" s="6" t="s">
        <v>2080</v>
      </c>
      <c r="F46" s="170"/>
      <c r="G46" s="136"/>
      <c r="H46" s="170"/>
      <c r="I46" s="3">
        <f t="shared" si="2"/>
        <v>0</v>
      </c>
      <c r="J46" s="136"/>
      <c r="K46" s="281">
        <f t="shared" si="3"/>
        <v>0</v>
      </c>
    </row>
    <row r="47" spans="1:11">
      <c r="A47" s="170"/>
      <c r="B47" s="6" t="s">
        <v>2081</v>
      </c>
      <c r="C47" s="6">
        <v>42</v>
      </c>
      <c r="D47" s="6" t="s">
        <v>2082</v>
      </c>
      <c r="E47" s="6" t="s">
        <v>2083</v>
      </c>
      <c r="F47" s="170"/>
      <c r="G47" s="136"/>
      <c r="H47" s="170"/>
      <c r="I47" s="3">
        <f t="shared" si="2"/>
        <v>0</v>
      </c>
      <c r="J47" s="136"/>
      <c r="K47" s="281">
        <f t="shared" si="3"/>
        <v>0</v>
      </c>
    </row>
    <row r="48" spans="1:11">
      <c r="A48" s="170"/>
      <c r="B48" s="6" t="s">
        <v>2084</v>
      </c>
      <c r="C48" s="6">
        <v>43</v>
      </c>
      <c r="D48" s="6" t="s">
        <v>2079</v>
      </c>
      <c r="E48" s="6" t="s">
        <v>2085</v>
      </c>
      <c r="F48" s="170"/>
      <c r="G48" s="283"/>
      <c r="H48" s="170"/>
      <c r="I48" s="3">
        <f t="shared" si="2"/>
        <v>0</v>
      </c>
      <c r="J48" s="136"/>
      <c r="K48" s="281">
        <f t="shared" si="3"/>
        <v>0</v>
      </c>
    </row>
    <row r="49" spans="1:11">
      <c r="A49" s="170"/>
      <c r="B49" s="6" t="s">
        <v>2086</v>
      </c>
      <c r="C49" s="6">
        <v>44</v>
      </c>
      <c r="D49" s="6" t="s">
        <v>2087</v>
      </c>
      <c r="E49" s="6" t="s">
        <v>2085</v>
      </c>
      <c r="F49" s="170"/>
      <c r="G49" s="284"/>
      <c r="H49" s="170"/>
      <c r="I49" s="3">
        <f t="shared" si="2"/>
        <v>0</v>
      </c>
      <c r="J49" s="136"/>
      <c r="K49" s="281">
        <f t="shared" si="3"/>
        <v>0</v>
      </c>
    </row>
    <row r="50" spans="1:11" s="80" customFormat="1">
      <c r="A50" s="4"/>
      <c r="B50" s="5" t="s">
        <v>1398</v>
      </c>
      <c r="C50" s="5">
        <v>39</v>
      </c>
      <c r="D50" s="4" t="s">
        <v>1395</v>
      </c>
      <c r="E50" s="4" t="s">
        <v>545</v>
      </c>
      <c r="F50" s="5">
        <v>0</v>
      </c>
      <c r="G50" s="5">
        <v>5000</v>
      </c>
      <c r="H50" s="5"/>
      <c r="I50" s="3">
        <f t="shared" si="2"/>
        <v>5000</v>
      </c>
      <c r="J50" s="136">
        <v>0.8</v>
      </c>
      <c r="K50" s="281">
        <f t="shared" si="3"/>
        <v>4000</v>
      </c>
    </row>
    <row r="51" spans="1:11" s="80" customFormat="1">
      <c r="A51" s="170"/>
      <c r="B51" s="6" t="s">
        <v>2088</v>
      </c>
      <c r="C51" s="6">
        <v>46</v>
      </c>
      <c r="D51" s="6" t="s">
        <v>2089</v>
      </c>
      <c r="E51" s="6" t="s">
        <v>2090</v>
      </c>
      <c r="F51" s="170"/>
      <c r="G51" s="136"/>
      <c r="H51" s="170"/>
      <c r="I51" s="3">
        <f t="shared" si="2"/>
        <v>0</v>
      </c>
      <c r="J51" s="136"/>
      <c r="K51" s="281">
        <f t="shared" si="3"/>
        <v>0</v>
      </c>
    </row>
    <row r="52" spans="1:11" s="80" customFormat="1">
      <c r="A52" s="170"/>
      <c r="B52" s="6" t="s">
        <v>2091</v>
      </c>
      <c r="C52" s="6">
        <v>47</v>
      </c>
      <c r="D52" s="6" t="s">
        <v>2092</v>
      </c>
      <c r="E52" s="6" t="s">
        <v>2093</v>
      </c>
      <c r="F52" s="170"/>
      <c r="G52" s="136"/>
      <c r="H52" s="170"/>
      <c r="I52" s="3">
        <f t="shared" si="2"/>
        <v>0</v>
      </c>
      <c r="J52" s="136"/>
      <c r="K52" s="281">
        <f t="shared" si="3"/>
        <v>0</v>
      </c>
    </row>
    <row r="53" spans="1:11">
      <c r="A53" s="170"/>
      <c r="B53" s="6" t="s">
        <v>2094</v>
      </c>
      <c r="C53" s="6">
        <v>48</v>
      </c>
      <c r="D53" s="6" t="s">
        <v>2095</v>
      </c>
      <c r="E53" s="6" t="s">
        <v>2096</v>
      </c>
      <c r="F53" s="170"/>
      <c r="G53" s="136"/>
      <c r="H53" s="170"/>
      <c r="I53" s="3">
        <f t="shared" si="2"/>
        <v>0</v>
      </c>
      <c r="J53" s="136"/>
      <c r="K53" s="281">
        <f t="shared" si="3"/>
        <v>0</v>
      </c>
    </row>
    <row r="54" spans="1:11">
      <c r="A54" s="263"/>
      <c r="B54" s="6" t="s">
        <v>2097</v>
      </c>
      <c r="C54" s="6">
        <v>49</v>
      </c>
      <c r="D54" s="6" t="s">
        <v>2098</v>
      </c>
      <c r="E54" s="5" t="s">
        <v>2099</v>
      </c>
      <c r="F54" s="263"/>
      <c r="G54" s="136"/>
      <c r="H54" s="170"/>
      <c r="I54" s="3">
        <f t="shared" si="2"/>
        <v>0</v>
      </c>
      <c r="J54" s="136"/>
      <c r="K54" s="281">
        <f t="shared" si="3"/>
        <v>0</v>
      </c>
    </row>
    <row r="55" spans="1:11">
      <c r="A55" s="263"/>
      <c r="B55" s="6" t="s">
        <v>2100</v>
      </c>
      <c r="C55" s="6">
        <v>50</v>
      </c>
      <c r="D55" s="6" t="s">
        <v>2101</v>
      </c>
      <c r="E55" s="5" t="s">
        <v>2099</v>
      </c>
      <c r="F55" s="263"/>
      <c r="G55" s="136"/>
      <c r="H55" s="263"/>
      <c r="I55" s="3">
        <f t="shared" si="2"/>
        <v>0</v>
      </c>
      <c r="J55" s="136"/>
      <c r="K55" s="281">
        <f t="shared" si="3"/>
        <v>0</v>
      </c>
    </row>
    <row r="56" spans="1:11">
      <c r="A56" s="263"/>
      <c r="B56" s="6" t="s">
        <v>2102</v>
      </c>
      <c r="C56" s="6">
        <v>51</v>
      </c>
      <c r="D56" s="6" t="s">
        <v>2103</v>
      </c>
      <c r="E56" s="285" t="s">
        <v>585</v>
      </c>
      <c r="F56" s="263">
        <v>250</v>
      </c>
      <c r="G56" s="136">
        <v>36</v>
      </c>
      <c r="H56" s="263"/>
      <c r="I56" s="3">
        <f t="shared" si="2"/>
        <v>286</v>
      </c>
      <c r="J56" s="136"/>
      <c r="K56" s="281">
        <f t="shared" si="3"/>
        <v>0</v>
      </c>
    </row>
    <row r="57" spans="1:11">
      <c r="A57" s="263"/>
      <c r="B57" s="6" t="s">
        <v>2104</v>
      </c>
      <c r="C57" s="6">
        <v>52</v>
      </c>
      <c r="D57" s="6" t="s">
        <v>2105</v>
      </c>
      <c r="E57" s="5" t="s">
        <v>2099</v>
      </c>
      <c r="F57" s="263"/>
      <c r="G57" s="136"/>
      <c r="H57" s="263"/>
      <c r="I57" s="3">
        <f t="shared" si="2"/>
        <v>0</v>
      </c>
      <c r="J57" s="136"/>
      <c r="K57" s="281">
        <f t="shared" si="3"/>
        <v>0</v>
      </c>
    </row>
    <row r="58" spans="1:11">
      <c r="A58" s="263"/>
      <c r="B58" s="6" t="s">
        <v>2106</v>
      </c>
      <c r="C58" s="6">
        <v>53</v>
      </c>
      <c r="D58" s="6" t="s">
        <v>2107</v>
      </c>
      <c r="E58" s="4" t="s">
        <v>2108</v>
      </c>
      <c r="F58" s="263">
        <v>16</v>
      </c>
      <c r="G58" s="136"/>
      <c r="H58" s="263"/>
      <c r="I58" s="3">
        <f t="shared" si="2"/>
        <v>16</v>
      </c>
      <c r="J58" s="136"/>
      <c r="K58" s="281">
        <f t="shared" si="3"/>
        <v>0</v>
      </c>
    </row>
    <row r="59" spans="1:11">
      <c r="A59" s="263"/>
      <c r="B59" s="6" t="s">
        <v>2109</v>
      </c>
      <c r="C59" s="6">
        <v>54</v>
      </c>
      <c r="D59" s="6" t="s">
        <v>2110</v>
      </c>
      <c r="E59" s="6" t="s">
        <v>2111</v>
      </c>
      <c r="F59" s="263"/>
      <c r="G59" s="283"/>
      <c r="H59" s="263"/>
      <c r="I59" s="3">
        <f t="shared" si="2"/>
        <v>0</v>
      </c>
      <c r="J59" s="136"/>
      <c r="K59" s="281">
        <f t="shared" si="3"/>
        <v>0</v>
      </c>
    </row>
    <row r="60" spans="1:11">
      <c r="A60" s="263"/>
      <c r="B60" s="6" t="s">
        <v>2112</v>
      </c>
      <c r="C60" s="6">
        <v>55</v>
      </c>
      <c r="D60" s="6" t="s">
        <v>2113</v>
      </c>
      <c r="E60" s="6" t="s">
        <v>2114</v>
      </c>
      <c r="F60" s="263"/>
      <c r="G60" s="284"/>
      <c r="H60" s="263"/>
      <c r="I60" s="3">
        <f t="shared" si="2"/>
        <v>0</v>
      </c>
      <c r="J60" s="136"/>
      <c r="K60" s="281">
        <f t="shared" si="3"/>
        <v>0</v>
      </c>
    </row>
    <row r="61" spans="1:11">
      <c r="A61" s="263"/>
      <c r="B61" s="6" t="s">
        <v>2115</v>
      </c>
      <c r="C61" s="6">
        <v>56</v>
      </c>
      <c r="D61" s="6" t="s">
        <v>2116</v>
      </c>
      <c r="E61" s="6" t="s">
        <v>2117</v>
      </c>
      <c r="F61" s="263"/>
      <c r="G61" s="284"/>
      <c r="H61" s="263"/>
      <c r="I61" s="3">
        <f t="shared" si="2"/>
        <v>0</v>
      </c>
      <c r="J61" s="136"/>
      <c r="K61" s="281">
        <f t="shared" si="3"/>
        <v>0</v>
      </c>
    </row>
    <row r="62" spans="1:11">
      <c r="A62" s="263"/>
      <c r="B62" s="6" t="s">
        <v>2118</v>
      </c>
      <c r="C62" s="6">
        <v>57</v>
      </c>
      <c r="D62" s="6" t="s">
        <v>2119</v>
      </c>
      <c r="E62" s="5" t="s">
        <v>2099</v>
      </c>
      <c r="F62" s="263"/>
      <c r="G62" s="284"/>
      <c r="H62" s="263"/>
      <c r="I62" s="3">
        <f t="shared" si="2"/>
        <v>0</v>
      </c>
      <c r="J62" s="136"/>
      <c r="K62" s="281">
        <f t="shared" si="3"/>
        <v>0</v>
      </c>
    </row>
    <row r="63" spans="1:11">
      <c r="A63" s="263"/>
      <c r="B63" s="6" t="s">
        <v>2120</v>
      </c>
      <c r="C63" s="6">
        <v>58</v>
      </c>
      <c r="D63" s="6" t="s">
        <v>2121</v>
      </c>
      <c r="E63" s="5" t="s">
        <v>2099</v>
      </c>
      <c r="F63" s="263"/>
      <c r="G63" s="284"/>
      <c r="H63" s="263"/>
      <c r="I63" s="3">
        <f t="shared" si="2"/>
        <v>0</v>
      </c>
      <c r="J63" s="136"/>
      <c r="K63" s="281">
        <f t="shared" si="3"/>
        <v>0</v>
      </c>
    </row>
    <row r="64" spans="1:11">
      <c r="A64" s="263"/>
      <c r="B64" s="6" t="s">
        <v>2122</v>
      </c>
      <c r="C64" s="6">
        <v>59</v>
      </c>
      <c r="D64" s="6" t="s">
        <v>2123</v>
      </c>
      <c r="E64" s="5" t="s">
        <v>2099</v>
      </c>
      <c r="F64" s="263"/>
      <c r="G64" s="284"/>
      <c r="H64" s="263"/>
      <c r="I64" s="3">
        <f t="shared" si="2"/>
        <v>0</v>
      </c>
      <c r="J64" s="136"/>
      <c r="K64" s="281">
        <f t="shared" si="3"/>
        <v>0</v>
      </c>
    </row>
    <row r="65" spans="1:11">
      <c r="A65" s="263"/>
      <c r="B65" s="6" t="s">
        <v>2124</v>
      </c>
      <c r="C65" s="6">
        <v>60</v>
      </c>
      <c r="D65" s="6" t="s">
        <v>2125</v>
      </c>
      <c r="E65" s="5" t="s">
        <v>2099</v>
      </c>
      <c r="F65" s="263"/>
      <c r="G65" s="284"/>
      <c r="H65" s="263"/>
      <c r="I65" s="3">
        <f t="shared" si="2"/>
        <v>0</v>
      </c>
      <c r="J65" s="136"/>
      <c r="K65" s="281">
        <f t="shared" si="3"/>
        <v>0</v>
      </c>
    </row>
    <row r="66" spans="1:11">
      <c r="A66" s="263"/>
      <c r="B66" s="6" t="s">
        <v>2126</v>
      </c>
      <c r="C66" s="6">
        <v>61</v>
      </c>
      <c r="D66" s="6" t="s">
        <v>2127</v>
      </c>
      <c r="E66" s="5" t="s">
        <v>2099</v>
      </c>
      <c r="F66" s="263"/>
      <c r="G66" s="284"/>
      <c r="H66" s="263"/>
      <c r="I66" s="3">
        <f t="shared" si="2"/>
        <v>0</v>
      </c>
      <c r="J66" s="136"/>
      <c r="K66" s="281">
        <f t="shared" si="3"/>
        <v>0</v>
      </c>
    </row>
    <row r="67" spans="1:11">
      <c r="A67" s="263"/>
      <c r="B67" s="6" t="s">
        <v>2128</v>
      </c>
      <c r="C67" s="6">
        <v>62</v>
      </c>
      <c r="D67" s="6" t="s">
        <v>2129</v>
      </c>
      <c r="E67" s="5" t="s">
        <v>2099</v>
      </c>
      <c r="F67" s="263"/>
      <c r="G67" s="284"/>
      <c r="H67" s="263"/>
      <c r="I67" s="3">
        <f t="shared" si="2"/>
        <v>0</v>
      </c>
      <c r="J67" s="136"/>
      <c r="K67" s="281">
        <f t="shared" si="3"/>
        <v>0</v>
      </c>
    </row>
    <row r="68" spans="1:11">
      <c r="A68" s="263"/>
      <c r="B68" s="6" t="s">
        <v>2130</v>
      </c>
      <c r="C68" s="6">
        <v>63</v>
      </c>
      <c r="D68" s="6" t="s">
        <v>2131</v>
      </c>
      <c r="E68" s="5" t="s">
        <v>2099</v>
      </c>
      <c r="F68" s="263"/>
      <c r="G68" s="284"/>
      <c r="H68" s="263"/>
      <c r="I68" s="3">
        <f t="shared" si="2"/>
        <v>0</v>
      </c>
      <c r="J68" s="136"/>
      <c r="K68" s="281">
        <f t="shared" si="3"/>
        <v>0</v>
      </c>
    </row>
    <row r="69" spans="1:11">
      <c r="A69" s="263"/>
      <c r="B69" s="6" t="s">
        <v>2132</v>
      </c>
      <c r="C69" s="6">
        <v>64</v>
      </c>
      <c r="D69" s="6" t="s">
        <v>2133</v>
      </c>
      <c r="E69" s="5" t="s">
        <v>2099</v>
      </c>
      <c r="F69" s="263"/>
      <c r="G69" s="284"/>
      <c r="H69" s="263"/>
      <c r="I69" s="3">
        <f t="shared" si="2"/>
        <v>0</v>
      </c>
      <c r="J69" s="136"/>
      <c r="K69" s="281">
        <f t="shared" si="3"/>
        <v>0</v>
      </c>
    </row>
    <row r="70" spans="1:11">
      <c r="A70" s="263"/>
      <c r="B70" s="6" t="s">
        <v>2134</v>
      </c>
      <c r="C70" s="6">
        <v>65</v>
      </c>
      <c r="D70" s="6" t="s">
        <v>2135</v>
      </c>
      <c r="E70" s="5" t="s">
        <v>2099</v>
      </c>
      <c r="F70" s="263"/>
      <c r="G70" s="284"/>
      <c r="H70" s="263"/>
      <c r="I70" s="3">
        <f t="shared" si="2"/>
        <v>0</v>
      </c>
      <c r="J70" s="136"/>
      <c r="K70" s="281">
        <f t="shared" si="3"/>
        <v>0</v>
      </c>
    </row>
    <row r="71" spans="1:11">
      <c r="A71" s="263"/>
      <c r="B71" s="6" t="s">
        <v>2136</v>
      </c>
      <c r="C71" s="6">
        <v>66</v>
      </c>
      <c r="D71" s="6" t="s">
        <v>2137</v>
      </c>
      <c r="E71" s="5" t="s">
        <v>2099</v>
      </c>
      <c r="F71" s="263"/>
      <c r="G71" s="284"/>
      <c r="H71" s="263"/>
      <c r="I71" s="3">
        <f t="shared" si="2"/>
        <v>0</v>
      </c>
      <c r="J71" s="136"/>
      <c r="K71" s="281">
        <f t="shared" si="3"/>
        <v>0</v>
      </c>
    </row>
    <row r="72" spans="1:11">
      <c r="A72" s="263"/>
      <c r="B72" s="6" t="s">
        <v>2138</v>
      </c>
      <c r="C72" s="6">
        <v>67</v>
      </c>
      <c r="D72" s="5" t="s">
        <v>2139</v>
      </c>
      <c r="E72" s="5" t="s">
        <v>1026</v>
      </c>
      <c r="F72" s="263">
        <v>300</v>
      </c>
      <c r="G72" s="284">
        <v>18</v>
      </c>
      <c r="H72" s="263"/>
      <c r="I72" s="3">
        <f t="shared" si="2"/>
        <v>318</v>
      </c>
      <c r="J72" s="136"/>
      <c r="K72" s="281">
        <f t="shared" si="3"/>
        <v>0</v>
      </c>
    </row>
    <row r="73" spans="1:11">
      <c r="A73" s="263"/>
      <c r="B73" s="6" t="s">
        <v>2140</v>
      </c>
      <c r="C73" s="6">
        <v>68</v>
      </c>
      <c r="D73" s="5" t="s">
        <v>2141</v>
      </c>
      <c r="E73" s="5" t="s">
        <v>1026</v>
      </c>
      <c r="F73" s="263">
        <v>19</v>
      </c>
      <c r="G73" s="284"/>
      <c r="H73" s="263"/>
      <c r="I73" s="3">
        <f t="shared" si="2"/>
        <v>19</v>
      </c>
      <c r="J73" s="136"/>
      <c r="K73" s="281">
        <f t="shared" si="3"/>
        <v>0</v>
      </c>
    </row>
    <row r="74" spans="1:11">
      <c r="A74" s="263"/>
      <c r="B74" s="6" t="s">
        <v>2142</v>
      </c>
      <c r="C74" s="6">
        <v>69</v>
      </c>
      <c r="D74" s="290" t="s">
        <v>2143</v>
      </c>
      <c r="E74" s="5"/>
      <c r="F74" s="263"/>
      <c r="G74" s="284"/>
      <c r="H74" s="263"/>
      <c r="I74" s="3">
        <f t="shared" si="2"/>
        <v>0</v>
      </c>
      <c r="J74" s="136"/>
      <c r="K74" s="281">
        <f t="shared" si="3"/>
        <v>0</v>
      </c>
    </row>
    <row r="75" spans="1:11">
      <c r="A75" s="263"/>
      <c r="B75" s="6" t="s">
        <v>2144</v>
      </c>
      <c r="C75" s="6">
        <v>70</v>
      </c>
      <c r="D75" s="290" t="s">
        <v>2145</v>
      </c>
      <c r="E75" s="5"/>
      <c r="F75" s="263"/>
      <c r="G75" s="284"/>
      <c r="H75" s="263"/>
      <c r="I75" s="3">
        <f t="shared" si="2"/>
        <v>0</v>
      </c>
      <c r="J75" s="136"/>
      <c r="K75" s="281">
        <f t="shared" si="3"/>
        <v>0</v>
      </c>
    </row>
    <row r="76" spans="1:11">
      <c r="A76" s="263"/>
      <c r="B76" s="6" t="s">
        <v>2146</v>
      </c>
      <c r="C76" s="6">
        <v>72</v>
      </c>
      <c r="D76" s="6" t="s">
        <v>2147</v>
      </c>
      <c r="E76" s="5" t="s">
        <v>2148</v>
      </c>
      <c r="F76" s="263">
        <v>200</v>
      </c>
      <c r="G76" s="284">
        <v>3</v>
      </c>
      <c r="H76" s="263"/>
      <c r="I76" s="3">
        <f t="shared" si="2"/>
        <v>203</v>
      </c>
      <c r="J76" s="136"/>
      <c r="K76" s="281">
        <f t="shared" si="3"/>
        <v>0</v>
      </c>
    </row>
    <row r="77" spans="1:11">
      <c r="A77" s="263"/>
      <c r="B77" s="6" t="s">
        <v>2149</v>
      </c>
      <c r="C77" s="6">
        <v>73</v>
      </c>
      <c r="D77" s="5" t="s">
        <v>2150</v>
      </c>
      <c r="E77" s="5" t="s">
        <v>2151</v>
      </c>
      <c r="F77" s="263">
        <v>1</v>
      </c>
      <c r="G77" s="284">
        <v>70</v>
      </c>
      <c r="H77" s="263"/>
      <c r="I77" s="3">
        <f t="shared" si="2"/>
        <v>71</v>
      </c>
      <c r="J77" s="136"/>
      <c r="K77" s="281">
        <f t="shared" si="3"/>
        <v>0</v>
      </c>
    </row>
    <row r="78" spans="1:11">
      <c r="A78" s="263"/>
      <c r="B78" s="6" t="s">
        <v>2152</v>
      </c>
      <c r="C78" s="6">
        <v>74</v>
      </c>
      <c r="D78" s="226" t="s">
        <v>2153</v>
      </c>
      <c r="E78" s="5" t="s">
        <v>2151</v>
      </c>
      <c r="F78" s="263">
        <v>48</v>
      </c>
      <c r="G78" s="284">
        <v>43</v>
      </c>
      <c r="H78" s="263"/>
      <c r="I78" s="3">
        <f t="shared" si="2"/>
        <v>91</v>
      </c>
      <c r="J78" s="136"/>
      <c r="K78" s="281">
        <f t="shared" si="3"/>
        <v>0</v>
      </c>
    </row>
    <row r="79" spans="1:11">
      <c r="A79" s="263"/>
      <c r="B79" s="6" t="s">
        <v>2154</v>
      </c>
      <c r="C79" s="6">
        <v>75</v>
      </c>
      <c r="D79" s="5" t="s">
        <v>2155</v>
      </c>
      <c r="E79" s="5" t="s">
        <v>2156</v>
      </c>
      <c r="F79" s="263">
        <v>5.0999999999999996</v>
      </c>
      <c r="G79" s="284">
        <v>156.13</v>
      </c>
      <c r="H79" s="263"/>
      <c r="I79" s="3">
        <f t="shared" si="2"/>
        <v>161.22999999999999</v>
      </c>
      <c r="J79" s="136"/>
      <c r="K79" s="281">
        <f t="shared" si="3"/>
        <v>0</v>
      </c>
    </row>
    <row r="80" spans="1:11">
      <c r="A80" s="16"/>
      <c r="B80" s="9"/>
      <c r="C80" s="5"/>
      <c r="D80" s="16"/>
      <c r="E80" s="61"/>
      <c r="F80" s="16"/>
      <c r="G80" s="16"/>
      <c r="H80" s="16"/>
      <c r="I80" s="16"/>
      <c r="J80" s="94" t="s">
        <v>2157</v>
      </c>
      <c r="K80" s="107">
        <f>SUM(K6:K79)</f>
        <v>7715</v>
      </c>
    </row>
  </sheetData>
  <mergeCells count="1">
    <mergeCell ref="A3:K3"/>
  </mergeCells>
  <pageMargins left="0.7" right="0.7" top="0.75" bottom="0.75" header="0.3" footer="0.3"/>
  <pageSetup scale="6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9" tint="-0.249977111117893"/>
    <pageSetUpPr fitToPage="1"/>
  </sheetPr>
  <dimension ref="A1:L28"/>
  <sheetViews>
    <sheetView topLeftCell="A4" workbookViewId="0">
      <selection activeCell="E22" sqref="E22"/>
    </sheetView>
  </sheetViews>
  <sheetFormatPr defaultRowHeight="15"/>
  <cols>
    <col min="1" max="1" width="19.7109375" bestFit="1" customWidth="1"/>
    <col min="2" max="2" width="13.85546875" bestFit="1" customWidth="1"/>
    <col min="4" max="4" width="27.28515625" customWidth="1"/>
    <col min="5" max="5" width="12.7109375" bestFit="1" customWidth="1"/>
    <col min="6" max="6" width="8.5703125" bestFit="1" customWidth="1"/>
    <col min="7" max="8" width="8.5703125" customWidth="1"/>
    <col min="9" max="9" width="9.140625" bestFit="1" customWidth="1"/>
    <col min="10" max="10" width="10.85546875" bestFit="1" customWidth="1"/>
    <col min="11" max="11" width="10.5703125" style="141" customWidth="1"/>
    <col min="12" max="12" width="9.140625" style="142"/>
  </cols>
  <sheetData>
    <row r="1" spans="1:12" ht="15.75" thickBot="1"/>
    <row r="2" spans="1:12" ht="16.5" thickBot="1">
      <c r="A2" s="318" t="s">
        <v>625</v>
      </c>
      <c r="B2" s="319"/>
      <c r="C2" s="319"/>
      <c r="D2" s="319"/>
      <c r="E2" s="319"/>
      <c r="F2" s="319"/>
      <c r="G2" s="319"/>
      <c r="H2" s="319"/>
      <c r="I2" s="319"/>
      <c r="J2" s="319"/>
      <c r="K2" s="320"/>
    </row>
    <row r="4" spans="1:12">
      <c r="A4" s="152" t="s">
        <v>349</v>
      </c>
      <c r="B4" s="152" t="s">
        <v>150</v>
      </c>
      <c r="C4" s="89" t="s">
        <v>0</v>
      </c>
      <c r="D4" s="89" t="s">
        <v>1</v>
      </c>
      <c r="E4" s="89" t="s">
        <v>2</v>
      </c>
      <c r="F4" s="89" t="s">
        <v>3</v>
      </c>
      <c r="G4" s="89" t="s">
        <v>1301</v>
      </c>
      <c r="H4" s="89" t="s">
        <v>1297</v>
      </c>
      <c r="I4" s="89" t="s">
        <v>1296</v>
      </c>
      <c r="J4" s="89" t="s">
        <v>131</v>
      </c>
      <c r="K4" s="212" t="s">
        <v>136</v>
      </c>
      <c r="L4" s="213"/>
    </row>
    <row r="5" spans="1:12" s="291" customFormat="1">
      <c r="A5" s="160" t="s">
        <v>350</v>
      </c>
      <c r="B5" s="160" t="s">
        <v>339</v>
      </c>
      <c r="C5" s="160">
        <v>1</v>
      </c>
      <c r="D5" s="160" t="s">
        <v>46</v>
      </c>
      <c r="E5" s="160" t="s">
        <v>47</v>
      </c>
      <c r="F5" s="160">
        <f>8220+200</f>
        <v>8420</v>
      </c>
      <c r="G5" s="160">
        <v>32000</v>
      </c>
      <c r="H5" s="160">
        <f>10+2+500+1000+250+702+100+50+1000+50+5+1+10</f>
        <v>3680</v>
      </c>
      <c r="I5" s="160">
        <f>F5+G5-H5</f>
        <v>36740</v>
      </c>
      <c r="J5" s="211">
        <v>15</v>
      </c>
      <c r="K5" s="214">
        <f>I5*J5</f>
        <v>551100</v>
      </c>
      <c r="L5" s="215">
        <f t="shared" ref="L5:L23" si="0">+K5/$K$26</f>
        <v>0.75221580171858993</v>
      </c>
    </row>
    <row r="6" spans="1:12" s="80" customFormat="1">
      <c r="A6" s="6" t="s">
        <v>358</v>
      </c>
      <c r="B6" s="6" t="s">
        <v>340</v>
      </c>
      <c r="C6" s="6">
        <v>2</v>
      </c>
      <c r="D6" s="6" t="s">
        <v>1157</v>
      </c>
      <c r="E6" s="6" t="s">
        <v>47</v>
      </c>
      <c r="F6" s="6">
        <v>1376</v>
      </c>
      <c r="G6" s="6"/>
      <c r="H6" s="6"/>
      <c r="I6" s="160">
        <f t="shared" ref="I6:I23" si="1">F6+G6-H6</f>
        <v>1376</v>
      </c>
      <c r="J6" s="136">
        <v>15</v>
      </c>
      <c r="K6" s="216">
        <f t="shared" ref="K6:K23" si="2">I6*J6</f>
        <v>20640</v>
      </c>
      <c r="L6" s="217">
        <f t="shared" si="0"/>
        <v>2.8172263014827975E-2</v>
      </c>
    </row>
    <row r="7" spans="1:12" s="149" customFormat="1">
      <c r="A7" s="160" t="s">
        <v>359</v>
      </c>
      <c r="B7" s="160" t="s">
        <v>341</v>
      </c>
      <c r="C7" s="160">
        <v>3</v>
      </c>
      <c r="D7" s="160" t="s">
        <v>48</v>
      </c>
      <c r="E7" s="160" t="s">
        <v>47</v>
      </c>
      <c r="F7" s="160">
        <f>1549+2500</f>
        <v>4049</v>
      </c>
      <c r="G7" s="160"/>
      <c r="H7" s="160"/>
      <c r="I7" s="160">
        <f t="shared" si="1"/>
        <v>4049</v>
      </c>
      <c r="J7" s="211">
        <v>15</v>
      </c>
      <c r="K7" s="214">
        <f t="shared" si="2"/>
        <v>60735</v>
      </c>
      <c r="L7" s="215">
        <f t="shared" si="0"/>
        <v>8.2899340804533775E-2</v>
      </c>
    </row>
    <row r="8" spans="1:12">
      <c r="A8" s="6" t="s">
        <v>357</v>
      </c>
      <c r="B8" s="6" t="s">
        <v>342</v>
      </c>
      <c r="C8" s="6">
        <v>4</v>
      </c>
      <c r="D8" s="6" t="s">
        <v>49</v>
      </c>
      <c r="E8" s="6" t="s">
        <v>47</v>
      </c>
      <c r="F8" s="6">
        <v>10</v>
      </c>
      <c r="G8" s="6"/>
      <c r="H8" s="6"/>
      <c r="I8" s="160">
        <f t="shared" si="1"/>
        <v>10</v>
      </c>
      <c r="J8" s="136">
        <v>20</v>
      </c>
      <c r="K8" s="216">
        <f t="shared" si="2"/>
        <v>200</v>
      </c>
      <c r="L8" s="217">
        <f t="shared" si="0"/>
        <v>2.7298704471732531E-4</v>
      </c>
    </row>
    <row r="9" spans="1:12">
      <c r="A9" s="6" t="s">
        <v>351</v>
      </c>
      <c r="B9" s="6" t="s">
        <v>343</v>
      </c>
      <c r="C9" s="6">
        <v>5</v>
      </c>
      <c r="D9" s="6" t="s">
        <v>50</v>
      </c>
      <c r="E9" s="6" t="s">
        <v>47</v>
      </c>
      <c r="F9" s="6">
        <v>19</v>
      </c>
      <c r="G9" s="6"/>
      <c r="H9" s="6"/>
      <c r="I9" s="160">
        <f t="shared" si="1"/>
        <v>19</v>
      </c>
      <c r="J9" s="136">
        <v>15</v>
      </c>
      <c r="K9" s="216">
        <f t="shared" si="2"/>
        <v>285</v>
      </c>
      <c r="L9" s="217">
        <f t="shared" si="0"/>
        <v>3.8900653872218861E-4</v>
      </c>
    </row>
    <row r="10" spans="1:12">
      <c r="A10" s="6" t="s">
        <v>352</v>
      </c>
      <c r="B10" s="6" t="s">
        <v>344</v>
      </c>
      <c r="C10" s="6">
        <v>6</v>
      </c>
      <c r="D10" s="6" t="s">
        <v>51</v>
      </c>
      <c r="E10" s="6" t="s">
        <v>47</v>
      </c>
      <c r="F10" s="6">
        <v>10</v>
      </c>
      <c r="G10" s="6"/>
      <c r="H10" s="6"/>
      <c r="I10" s="160">
        <f t="shared" si="1"/>
        <v>10</v>
      </c>
      <c r="J10" s="136">
        <v>10</v>
      </c>
      <c r="K10" s="216">
        <f t="shared" si="2"/>
        <v>100</v>
      </c>
      <c r="L10" s="217">
        <f t="shared" si="0"/>
        <v>1.3649352235866265E-4</v>
      </c>
    </row>
    <row r="11" spans="1:12">
      <c r="A11" s="6" t="s">
        <v>353</v>
      </c>
      <c r="B11" s="6" t="s">
        <v>345</v>
      </c>
      <c r="C11" s="6">
        <v>7</v>
      </c>
      <c r="D11" s="6" t="s">
        <v>52</v>
      </c>
      <c r="E11" s="6" t="s">
        <v>47</v>
      </c>
      <c r="F11" s="6"/>
      <c r="G11" s="6"/>
      <c r="H11" s="6"/>
      <c r="I11" s="160">
        <f t="shared" si="1"/>
        <v>0</v>
      </c>
      <c r="J11" s="136">
        <v>15</v>
      </c>
      <c r="K11" s="216">
        <f t="shared" si="2"/>
        <v>0</v>
      </c>
      <c r="L11" s="217">
        <f t="shared" si="0"/>
        <v>0</v>
      </c>
    </row>
    <row r="12" spans="1:12">
      <c r="A12" s="6" t="s">
        <v>354</v>
      </c>
      <c r="B12" s="6" t="s">
        <v>346</v>
      </c>
      <c r="C12" s="6">
        <v>8</v>
      </c>
      <c r="D12" s="6" t="s">
        <v>53</v>
      </c>
      <c r="E12" s="6" t="s">
        <v>47</v>
      </c>
      <c r="F12" s="6"/>
      <c r="G12" s="6"/>
      <c r="H12" s="6"/>
      <c r="I12" s="160">
        <f t="shared" si="1"/>
        <v>0</v>
      </c>
      <c r="J12" s="136">
        <v>10</v>
      </c>
      <c r="K12" s="216">
        <f t="shared" si="2"/>
        <v>0</v>
      </c>
      <c r="L12" s="217">
        <f t="shared" si="0"/>
        <v>0</v>
      </c>
    </row>
    <row r="13" spans="1:12">
      <c r="A13" s="6" t="s">
        <v>355</v>
      </c>
      <c r="B13" s="6" t="s">
        <v>347</v>
      </c>
      <c r="C13" s="6">
        <v>9</v>
      </c>
      <c r="D13" s="6" t="s">
        <v>54</v>
      </c>
      <c r="E13" s="6" t="s">
        <v>47</v>
      </c>
      <c r="F13" s="6"/>
      <c r="G13" s="6"/>
      <c r="H13" s="6"/>
      <c r="I13" s="160">
        <f t="shared" si="1"/>
        <v>0</v>
      </c>
      <c r="J13" s="136">
        <v>12</v>
      </c>
      <c r="K13" s="216">
        <f t="shared" si="2"/>
        <v>0</v>
      </c>
      <c r="L13" s="217">
        <f t="shared" si="0"/>
        <v>0</v>
      </c>
    </row>
    <row r="14" spans="1:12" s="80" customFormat="1">
      <c r="A14" s="6" t="s">
        <v>629</v>
      </c>
      <c r="B14" s="6" t="s">
        <v>630</v>
      </c>
      <c r="C14" s="6">
        <v>10</v>
      </c>
      <c r="D14" s="6" t="s">
        <v>636</v>
      </c>
      <c r="E14" s="6" t="s">
        <v>47</v>
      </c>
      <c r="F14" s="6">
        <v>99</v>
      </c>
      <c r="G14" s="6"/>
      <c r="H14" s="6"/>
      <c r="I14" s="160">
        <f t="shared" si="1"/>
        <v>99</v>
      </c>
      <c r="J14" s="136">
        <v>20</v>
      </c>
      <c r="K14" s="216">
        <f t="shared" si="2"/>
        <v>1980</v>
      </c>
      <c r="L14" s="217">
        <f t="shared" si="0"/>
        <v>2.7025717427015209E-3</v>
      </c>
    </row>
    <row r="15" spans="1:12" s="80" customFormat="1">
      <c r="A15" s="6" t="s">
        <v>860</v>
      </c>
      <c r="B15" s="6" t="s">
        <v>863</v>
      </c>
      <c r="C15" s="6">
        <v>11</v>
      </c>
      <c r="D15" s="292" t="s">
        <v>1197</v>
      </c>
      <c r="E15" s="6" t="s">
        <v>47</v>
      </c>
      <c r="F15" s="292">
        <v>500</v>
      </c>
      <c r="G15" s="292"/>
      <c r="H15" s="292"/>
      <c r="I15" s="160">
        <f t="shared" si="1"/>
        <v>500</v>
      </c>
      <c r="J15" s="116">
        <v>20</v>
      </c>
      <c r="K15" s="216">
        <f t="shared" si="2"/>
        <v>10000</v>
      </c>
      <c r="L15" s="217">
        <f t="shared" si="0"/>
        <v>1.3649352235866266E-2</v>
      </c>
    </row>
    <row r="16" spans="1:12" s="80" customFormat="1">
      <c r="A16" s="6" t="s">
        <v>861</v>
      </c>
      <c r="B16" s="6" t="s">
        <v>864</v>
      </c>
      <c r="C16" s="6">
        <v>12</v>
      </c>
      <c r="D16" s="292" t="s">
        <v>866</v>
      </c>
      <c r="E16" s="6" t="s">
        <v>47</v>
      </c>
      <c r="F16" s="292"/>
      <c r="G16" s="292"/>
      <c r="H16" s="292"/>
      <c r="I16" s="160">
        <f t="shared" si="1"/>
        <v>0</v>
      </c>
      <c r="J16" s="136">
        <v>20</v>
      </c>
      <c r="K16" s="216">
        <f t="shared" si="2"/>
        <v>0</v>
      </c>
      <c r="L16" s="217">
        <f t="shared" si="0"/>
        <v>0</v>
      </c>
    </row>
    <row r="17" spans="1:12" s="80" customFormat="1">
      <c r="A17" s="6" t="s">
        <v>862</v>
      </c>
      <c r="B17" s="6" t="s">
        <v>865</v>
      </c>
      <c r="C17" s="6">
        <v>13</v>
      </c>
      <c r="D17" s="292" t="s">
        <v>867</v>
      </c>
      <c r="E17" s="6" t="s">
        <v>47</v>
      </c>
      <c r="F17" s="292"/>
      <c r="G17" s="292"/>
      <c r="H17" s="292"/>
      <c r="I17" s="160">
        <f t="shared" si="1"/>
        <v>0</v>
      </c>
      <c r="J17" s="136">
        <v>20</v>
      </c>
      <c r="K17" s="216">
        <f t="shared" si="2"/>
        <v>0</v>
      </c>
      <c r="L17" s="217">
        <f t="shared" si="0"/>
        <v>0</v>
      </c>
    </row>
    <row r="18" spans="1:12" s="80" customFormat="1">
      <c r="A18" s="6" t="s">
        <v>870</v>
      </c>
      <c r="B18" s="6" t="s">
        <v>869</v>
      </c>
      <c r="C18" s="6">
        <v>14</v>
      </c>
      <c r="D18" s="292" t="s">
        <v>868</v>
      </c>
      <c r="E18" s="6" t="s">
        <v>47</v>
      </c>
      <c r="F18" s="292"/>
      <c r="G18" s="292"/>
      <c r="H18" s="292"/>
      <c r="I18" s="160">
        <f t="shared" si="1"/>
        <v>0</v>
      </c>
      <c r="J18" s="136">
        <v>20</v>
      </c>
      <c r="K18" s="216">
        <f t="shared" si="2"/>
        <v>0</v>
      </c>
      <c r="L18" s="217">
        <f t="shared" si="0"/>
        <v>0</v>
      </c>
    </row>
    <row r="19" spans="1:12" s="291" customFormat="1">
      <c r="A19" s="160" t="s">
        <v>966</v>
      </c>
      <c r="B19" s="160" t="s">
        <v>967</v>
      </c>
      <c r="C19" s="160">
        <v>15</v>
      </c>
      <c r="D19" s="242" t="s">
        <v>968</v>
      </c>
      <c r="E19" s="160" t="s">
        <v>47</v>
      </c>
      <c r="F19" s="242">
        <f>3000+3000+317+130</f>
        <v>6447</v>
      </c>
      <c r="G19" s="242"/>
      <c r="H19" s="242">
        <f>10+400+20+5+1+8+2000+1+1000</f>
        <v>3445</v>
      </c>
      <c r="I19" s="160">
        <f t="shared" si="1"/>
        <v>3002</v>
      </c>
      <c r="J19" s="211">
        <v>20</v>
      </c>
      <c r="K19" s="214">
        <f t="shared" si="2"/>
        <v>60040</v>
      </c>
      <c r="L19" s="215">
        <f t="shared" si="0"/>
        <v>8.1950710824141057E-2</v>
      </c>
    </row>
    <row r="20" spans="1:12" s="80" customFormat="1">
      <c r="A20" s="6"/>
      <c r="B20" s="6" t="s">
        <v>1064</v>
      </c>
      <c r="C20" s="6">
        <v>16</v>
      </c>
      <c r="D20" s="292" t="s">
        <v>1065</v>
      </c>
      <c r="E20" s="6" t="s">
        <v>47</v>
      </c>
      <c r="F20" s="292">
        <v>970</v>
      </c>
      <c r="G20" s="292"/>
      <c r="H20" s="292">
        <f>50+100+6</f>
        <v>156</v>
      </c>
      <c r="I20" s="160">
        <f t="shared" si="1"/>
        <v>814</v>
      </c>
      <c r="J20" s="136">
        <v>18</v>
      </c>
      <c r="K20" s="216">
        <f t="shared" si="2"/>
        <v>14652</v>
      </c>
      <c r="L20" s="217">
        <f t="shared" si="0"/>
        <v>1.9999030895991254E-2</v>
      </c>
    </row>
    <row r="21" spans="1:12" s="80" customFormat="1">
      <c r="A21" s="6"/>
      <c r="B21" s="6" t="s">
        <v>2051</v>
      </c>
      <c r="C21" s="6">
        <v>17</v>
      </c>
      <c r="D21" s="292" t="s">
        <v>1155</v>
      </c>
      <c r="E21" s="6" t="s">
        <v>47</v>
      </c>
      <c r="F21" s="292">
        <v>600</v>
      </c>
      <c r="G21" s="292"/>
      <c r="H21" s="292"/>
      <c r="I21" s="160">
        <f t="shared" si="1"/>
        <v>600</v>
      </c>
      <c r="J21" s="136">
        <v>20</v>
      </c>
      <c r="K21" s="216">
        <f t="shared" si="2"/>
        <v>12000</v>
      </c>
      <c r="L21" s="217">
        <f t="shared" si="0"/>
        <v>1.637922268303952E-2</v>
      </c>
    </row>
    <row r="22" spans="1:12" s="80" customFormat="1">
      <c r="A22" s="6"/>
      <c r="B22" s="6" t="s">
        <v>2052</v>
      </c>
      <c r="C22" s="6">
        <v>18</v>
      </c>
      <c r="D22" s="292" t="s">
        <v>1156</v>
      </c>
      <c r="E22" s="6" t="s">
        <v>47</v>
      </c>
      <c r="F22" s="292">
        <f>70+75+40</f>
        <v>185</v>
      </c>
      <c r="G22" s="292"/>
      <c r="H22" s="292"/>
      <c r="I22" s="160">
        <f t="shared" si="1"/>
        <v>185</v>
      </c>
      <c r="J22" s="136">
        <v>2.5</v>
      </c>
      <c r="K22" s="216">
        <f t="shared" si="2"/>
        <v>462.5</v>
      </c>
      <c r="L22" s="217">
        <f t="shared" si="0"/>
        <v>6.3128254090881485E-4</v>
      </c>
    </row>
    <row r="23" spans="1:12">
      <c r="A23" s="6"/>
      <c r="B23" s="160" t="s">
        <v>2053</v>
      </c>
      <c r="C23" s="6">
        <v>19</v>
      </c>
      <c r="D23" s="292" t="s">
        <v>1270</v>
      </c>
      <c r="E23" s="6" t="s">
        <v>1271</v>
      </c>
      <c r="F23" s="292">
        <v>63</v>
      </c>
      <c r="G23" s="292"/>
      <c r="H23" s="292"/>
      <c r="I23" s="160">
        <f t="shared" si="1"/>
        <v>63</v>
      </c>
      <c r="J23" s="271">
        <v>7</v>
      </c>
      <c r="K23" s="219">
        <f t="shared" si="2"/>
        <v>441</v>
      </c>
      <c r="L23" s="217">
        <f t="shared" si="0"/>
        <v>6.0193643360170236E-4</v>
      </c>
    </row>
    <row r="24" spans="1:12">
      <c r="A24" s="6"/>
      <c r="B24" s="6" t="s">
        <v>2066</v>
      </c>
      <c r="C24" s="6">
        <v>20</v>
      </c>
      <c r="D24" s="292" t="s">
        <v>2067</v>
      </c>
      <c r="E24" s="6" t="s">
        <v>47</v>
      </c>
      <c r="F24" s="170">
        <v>100</v>
      </c>
      <c r="G24" s="292"/>
      <c r="H24" s="292"/>
      <c r="I24" s="160">
        <f t="shared" ref="I24:I25" si="3">F24+G24-H24</f>
        <v>100</v>
      </c>
      <c r="J24" s="271">
        <v>8</v>
      </c>
      <c r="K24" s="219">
        <f t="shared" ref="K24:K25" si="4">I24*J24</f>
        <v>800</v>
      </c>
      <c r="L24" s="217">
        <f t="shared" ref="L24:L25" si="5">+K24/$K$26</f>
        <v>1.0919481788693012E-3</v>
      </c>
    </row>
    <row r="25" spans="1:12" ht="15.75" thickBot="1">
      <c r="A25" s="6"/>
      <c r="B25" s="6" t="s">
        <v>2068</v>
      </c>
      <c r="C25" s="6">
        <v>21</v>
      </c>
      <c r="D25" s="292" t="s">
        <v>2069</v>
      </c>
      <c r="E25" s="6" t="s">
        <v>47</v>
      </c>
      <c r="F25" s="170">
        <v>20</v>
      </c>
      <c r="G25" s="292"/>
      <c r="H25" s="292"/>
      <c r="I25" s="160">
        <f t="shared" si="3"/>
        <v>20</v>
      </c>
      <c r="J25" s="271">
        <v>9</v>
      </c>
      <c r="K25" s="219">
        <f t="shared" si="4"/>
        <v>180</v>
      </c>
      <c r="L25" s="217">
        <f t="shared" si="5"/>
        <v>2.4568834024559281E-4</v>
      </c>
    </row>
    <row r="26" spans="1:12" ht="17.25" thickBot="1">
      <c r="A26" s="15"/>
      <c r="B26" s="15"/>
      <c r="C26" s="15"/>
      <c r="D26" s="15"/>
      <c r="E26" s="15"/>
      <c r="F26" s="15"/>
      <c r="G26" s="15"/>
      <c r="H26" s="83"/>
      <c r="I26" s="218"/>
      <c r="J26" s="220" t="s">
        <v>146</v>
      </c>
      <c r="K26" s="221">
        <f>SUM(K5:K23)</f>
        <v>732635.5</v>
      </c>
      <c r="L26" s="143"/>
    </row>
    <row r="27" spans="1:12">
      <c r="H27" s="142"/>
      <c r="K27"/>
      <c r="L27"/>
    </row>
    <row r="28" spans="1:12">
      <c r="H28" s="142"/>
      <c r="K28"/>
      <c r="L28"/>
    </row>
  </sheetData>
  <mergeCells count="1">
    <mergeCell ref="A2:K2"/>
  </mergeCells>
  <pageMargins left="0.7" right="0.7" top="0.75" bottom="0.75" header="0.3" footer="0.3"/>
  <pageSetup scale="6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54"/>
  <sheetViews>
    <sheetView workbookViewId="0">
      <selection activeCell="A4" sqref="A4:H48"/>
    </sheetView>
  </sheetViews>
  <sheetFormatPr defaultRowHeight="15"/>
  <cols>
    <col min="1" max="1" width="24" customWidth="1"/>
    <col min="2" max="2" width="16.28515625" customWidth="1"/>
    <col min="4" max="4" width="46.7109375" bestFit="1" customWidth="1"/>
    <col min="5" max="5" width="34" customWidth="1"/>
    <col min="7" max="7" width="10.85546875" style="87" bestFit="1" customWidth="1"/>
    <col min="8" max="8" width="9.5703125" bestFit="1" customWidth="1"/>
  </cols>
  <sheetData>
    <row r="1" spans="1:11" ht="15.75" thickBot="1">
      <c r="A1" s="321" t="s">
        <v>1421</v>
      </c>
      <c r="B1" s="322"/>
      <c r="C1" s="322"/>
      <c r="D1" s="322"/>
      <c r="E1" s="322"/>
      <c r="F1" s="322"/>
      <c r="G1" s="322"/>
      <c r="H1" s="323"/>
      <c r="K1" s="62"/>
    </row>
    <row r="2" spans="1:11" ht="15.75" thickBot="1"/>
    <row r="3" spans="1:11">
      <c r="A3" s="36" t="s">
        <v>349</v>
      </c>
      <c r="B3" s="40" t="s">
        <v>150</v>
      </c>
      <c r="C3" s="33" t="s">
        <v>0</v>
      </c>
      <c r="D3" s="33" t="s">
        <v>1</v>
      </c>
      <c r="E3" s="33" t="s">
        <v>2</v>
      </c>
      <c r="F3" s="33" t="s">
        <v>3</v>
      </c>
      <c r="G3" s="34" t="s">
        <v>131</v>
      </c>
      <c r="H3" s="35" t="s">
        <v>136</v>
      </c>
    </row>
    <row r="4" spans="1:11">
      <c r="A4" s="82" t="s">
        <v>1422</v>
      </c>
      <c r="B4" s="81" t="s">
        <v>1423</v>
      </c>
      <c r="C4" s="6">
        <v>1</v>
      </c>
      <c r="D4" s="10" t="s">
        <v>1424</v>
      </c>
      <c r="E4" s="6" t="s">
        <v>1425</v>
      </c>
      <c r="F4" s="6">
        <v>0</v>
      </c>
      <c r="G4" s="10">
        <v>37.4</v>
      </c>
      <c r="H4" s="100">
        <f>G4*F4</f>
        <v>0</v>
      </c>
    </row>
    <row r="5" spans="1:11">
      <c r="A5" s="82" t="s">
        <v>1426</v>
      </c>
      <c r="B5" s="81" t="s">
        <v>1427</v>
      </c>
      <c r="C5" s="6">
        <v>2</v>
      </c>
      <c r="D5" s="10" t="s">
        <v>1428</v>
      </c>
      <c r="E5" s="6" t="s">
        <v>1425</v>
      </c>
      <c r="F5" s="6">
        <v>0</v>
      </c>
      <c r="G5" s="10">
        <v>49.5</v>
      </c>
      <c r="H5" s="100">
        <f t="shared" ref="H5:H42" si="0">G5*F5</f>
        <v>0</v>
      </c>
    </row>
    <row r="6" spans="1:11">
      <c r="A6" s="82" t="s">
        <v>1429</v>
      </c>
      <c r="B6" s="81" t="s">
        <v>1430</v>
      </c>
      <c r="C6" s="6">
        <v>3</v>
      </c>
      <c r="D6" s="10" t="s">
        <v>1431</v>
      </c>
      <c r="E6" s="6" t="s">
        <v>1425</v>
      </c>
      <c r="F6" s="6">
        <v>0</v>
      </c>
      <c r="G6" s="10">
        <v>55</v>
      </c>
      <c r="H6" s="100">
        <f t="shared" si="0"/>
        <v>0</v>
      </c>
    </row>
    <row r="7" spans="1:11">
      <c r="A7" s="82" t="s">
        <v>1432</v>
      </c>
      <c r="B7" s="81" t="s">
        <v>1433</v>
      </c>
      <c r="C7" s="6">
        <v>4</v>
      </c>
      <c r="D7" s="10" t="s">
        <v>1434</v>
      </c>
      <c r="E7" s="6" t="s">
        <v>1425</v>
      </c>
      <c r="F7" s="6">
        <v>0</v>
      </c>
      <c r="G7" s="10">
        <v>60.5</v>
      </c>
      <c r="H7" s="100">
        <f t="shared" si="0"/>
        <v>0</v>
      </c>
    </row>
    <row r="8" spans="1:11">
      <c r="A8" s="82" t="s">
        <v>1435</v>
      </c>
      <c r="B8" s="81" t="s">
        <v>1436</v>
      </c>
      <c r="C8" s="6">
        <v>5</v>
      </c>
      <c r="D8" s="6" t="s">
        <v>1437</v>
      </c>
      <c r="E8" s="6" t="s">
        <v>1425</v>
      </c>
      <c r="F8" s="6">
        <v>0</v>
      </c>
      <c r="G8" s="10">
        <v>120</v>
      </c>
      <c r="H8" s="100">
        <f t="shared" si="0"/>
        <v>0</v>
      </c>
    </row>
    <row r="9" spans="1:11">
      <c r="A9" s="82" t="s">
        <v>1438</v>
      </c>
      <c r="B9" s="81" t="s">
        <v>1439</v>
      </c>
      <c r="C9" s="6">
        <v>6</v>
      </c>
      <c r="D9" s="6" t="s">
        <v>1440</v>
      </c>
      <c r="E9" s="6" t="s">
        <v>1425</v>
      </c>
      <c r="F9" s="6">
        <v>2</v>
      </c>
      <c r="G9" s="10">
        <v>420</v>
      </c>
      <c r="H9" s="100">
        <f t="shared" si="0"/>
        <v>840</v>
      </c>
    </row>
    <row r="10" spans="1:11">
      <c r="A10" s="82" t="s">
        <v>1441</v>
      </c>
      <c r="B10" s="81" t="s">
        <v>1442</v>
      </c>
      <c r="C10" s="6">
        <v>7</v>
      </c>
      <c r="D10" s="10" t="s">
        <v>1443</v>
      </c>
      <c r="E10" s="6" t="s">
        <v>1425</v>
      </c>
      <c r="F10" s="6">
        <v>0</v>
      </c>
      <c r="G10" s="10">
        <v>175</v>
      </c>
      <c r="H10" s="100">
        <f t="shared" si="0"/>
        <v>0</v>
      </c>
    </row>
    <row r="11" spans="1:11">
      <c r="A11" s="82" t="s">
        <v>1444</v>
      </c>
      <c r="B11" s="81" t="s">
        <v>1445</v>
      </c>
      <c r="C11" s="6">
        <v>8</v>
      </c>
      <c r="D11" s="6" t="s">
        <v>1446</v>
      </c>
      <c r="E11" s="6" t="s">
        <v>1425</v>
      </c>
      <c r="F11" s="6">
        <v>1</v>
      </c>
      <c r="G11" s="10">
        <v>150</v>
      </c>
      <c r="H11" s="100">
        <f t="shared" si="0"/>
        <v>150</v>
      </c>
    </row>
    <row r="12" spans="1:11">
      <c r="A12" s="82" t="s">
        <v>1447</v>
      </c>
      <c r="B12" s="81" t="s">
        <v>1448</v>
      </c>
      <c r="C12" s="6">
        <v>9</v>
      </c>
      <c r="D12" s="6" t="s">
        <v>1449</v>
      </c>
      <c r="E12" s="6" t="s">
        <v>1425</v>
      </c>
      <c r="F12" s="6">
        <v>0</v>
      </c>
      <c r="G12" s="10">
        <v>750</v>
      </c>
      <c r="H12" s="100">
        <f t="shared" si="0"/>
        <v>0</v>
      </c>
    </row>
    <row r="13" spans="1:11">
      <c r="A13" s="82" t="s">
        <v>1450</v>
      </c>
      <c r="B13" s="81" t="s">
        <v>1356</v>
      </c>
      <c r="C13" s="6">
        <v>10</v>
      </c>
      <c r="D13" s="10" t="s">
        <v>1451</v>
      </c>
      <c r="E13" s="6" t="s">
        <v>1425</v>
      </c>
      <c r="F13" s="6">
        <v>20</v>
      </c>
      <c r="G13" s="29">
        <v>77</v>
      </c>
      <c r="H13" s="100">
        <f t="shared" si="0"/>
        <v>1540</v>
      </c>
    </row>
    <row r="14" spans="1:11">
      <c r="A14" s="82" t="s">
        <v>1452</v>
      </c>
      <c r="B14" s="81" t="s">
        <v>1358</v>
      </c>
      <c r="C14" s="6">
        <v>11</v>
      </c>
      <c r="D14" s="10" t="s">
        <v>1453</v>
      </c>
      <c r="E14" s="6" t="s">
        <v>1425</v>
      </c>
      <c r="F14" s="6">
        <v>92</v>
      </c>
      <c r="G14" s="29">
        <v>95</v>
      </c>
      <c r="H14" s="100">
        <f t="shared" si="0"/>
        <v>8740</v>
      </c>
    </row>
    <row r="15" spans="1:11">
      <c r="A15" s="82" t="s">
        <v>1454</v>
      </c>
      <c r="B15" s="81" t="s">
        <v>1455</v>
      </c>
      <c r="C15" s="6">
        <v>12</v>
      </c>
      <c r="D15" s="10" t="s">
        <v>1456</v>
      </c>
      <c r="E15" s="6" t="s">
        <v>1425</v>
      </c>
      <c r="F15" s="6">
        <v>10</v>
      </c>
      <c r="G15" s="29">
        <v>105</v>
      </c>
      <c r="H15" s="100">
        <f t="shared" si="0"/>
        <v>1050</v>
      </c>
    </row>
    <row r="16" spans="1:11">
      <c r="A16" s="82" t="s">
        <v>1457</v>
      </c>
      <c r="B16" s="81" t="s">
        <v>1458</v>
      </c>
      <c r="C16" s="6">
        <v>13</v>
      </c>
      <c r="D16" s="10" t="s">
        <v>1459</v>
      </c>
      <c r="E16" s="6" t="s">
        <v>1425</v>
      </c>
      <c r="F16" s="6">
        <v>53</v>
      </c>
      <c r="G16" s="29">
        <v>250</v>
      </c>
      <c r="H16" s="100">
        <f t="shared" si="0"/>
        <v>13250</v>
      </c>
    </row>
    <row r="17" spans="1:8">
      <c r="A17" s="82" t="s">
        <v>1460</v>
      </c>
      <c r="B17" s="81" t="s">
        <v>1461</v>
      </c>
      <c r="C17" s="6">
        <v>14</v>
      </c>
      <c r="D17" s="10" t="s">
        <v>1462</v>
      </c>
      <c r="E17" s="6" t="s">
        <v>1425</v>
      </c>
      <c r="F17" s="6">
        <v>99</v>
      </c>
      <c r="G17" s="29">
        <v>250</v>
      </c>
      <c r="H17" s="100">
        <f t="shared" si="0"/>
        <v>24750</v>
      </c>
    </row>
    <row r="18" spans="1:8">
      <c r="A18" s="82" t="s">
        <v>1463</v>
      </c>
      <c r="B18" s="81" t="s">
        <v>1372</v>
      </c>
      <c r="C18" s="6">
        <v>15</v>
      </c>
      <c r="D18" s="10" t="s">
        <v>1464</v>
      </c>
      <c r="E18" s="6" t="s">
        <v>1425</v>
      </c>
      <c r="F18" s="6">
        <v>1000</v>
      </c>
      <c r="G18" s="29">
        <v>6</v>
      </c>
      <c r="H18" s="100">
        <f>G18*F18</f>
        <v>6000</v>
      </c>
    </row>
    <row r="19" spans="1:8">
      <c r="A19" s="82" t="s">
        <v>1465</v>
      </c>
      <c r="B19" s="81" t="s">
        <v>1466</v>
      </c>
      <c r="C19" s="6">
        <v>16</v>
      </c>
      <c r="D19" s="10" t="s">
        <v>1467</v>
      </c>
      <c r="E19" s="6" t="s">
        <v>1425</v>
      </c>
      <c r="F19" s="6">
        <v>1000</v>
      </c>
      <c r="G19" s="29">
        <v>4.5</v>
      </c>
      <c r="H19" s="100">
        <f t="shared" si="0"/>
        <v>4500</v>
      </c>
    </row>
    <row r="20" spans="1:8">
      <c r="A20" s="82" t="s">
        <v>1468</v>
      </c>
      <c r="B20" s="81" t="s">
        <v>1357</v>
      </c>
      <c r="C20" s="6">
        <v>17</v>
      </c>
      <c r="D20" s="10" t="s">
        <v>1469</v>
      </c>
      <c r="E20" s="6" t="s">
        <v>1425</v>
      </c>
      <c r="F20" s="10">
        <v>44</v>
      </c>
      <c r="G20" s="10">
        <v>95</v>
      </c>
      <c r="H20" s="100">
        <f>G20*F20</f>
        <v>4180</v>
      </c>
    </row>
    <row r="21" spans="1:8">
      <c r="A21" s="82" t="s">
        <v>1470</v>
      </c>
      <c r="B21" s="81" t="s">
        <v>1471</v>
      </c>
      <c r="C21" s="6">
        <v>18</v>
      </c>
      <c r="D21" s="10" t="s">
        <v>1472</v>
      </c>
      <c r="E21" s="6" t="s">
        <v>1425</v>
      </c>
      <c r="F21" s="6">
        <v>10</v>
      </c>
      <c r="G21" s="29">
        <v>7</v>
      </c>
      <c r="H21" s="100">
        <f t="shared" si="0"/>
        <v>70</v>
      </c>
    </row>
    <row r="22" spans="1:8">
      <c r="A22" s="82" t="s">
        <v>1473</v>
      </c>
      <c r="B22" s="81" t="s">
        <v>1474</v>
      </c>
      <c r="C22" s="6">
        <v>19</v>
      </c>
      <c r="D22" s="10" t="s">
        <v>1475</v>
      </c>
      <c r="E22" s="6" t="s">
        <v>1425</v>
      </c>
      <c r="F22" s="6">
        <v>3300</v>
      </c>
      <c r="G22" s="29">
        <v>40</v>
      </c>
      <c r="H22" s="100">
        <f t="shared" si="0"/>
        <v>132000</v>
      </c>
    </row>
    <row r="23" spans="1:8">
      <c r="A23" s="82" t="s">
        <v>1476</v>
      </c>
      <c r="B23" s="81" t="s">
        <v>1477</v>
      </c>
      <c r="C23" s="6">
        <v>20</v>
      </c>
      <c r="D23" s="10" t="s">
        <v>1478</v>
      </c>
      <c r="E23" s="169" t="s">
        <v>1425</v>
      </c>
      <c r="F23" s="6">
        <v>250</v>
      </c>
      <c r="G23" s="29">
        <v>74.25</v>
      </c>
      <c r="H23" s="100">
        <f t="shared" si="0"/>
        <v>18562.5</v>
      </c>
    </row>
    <row r="24" spans="1:8">
      <c r="A24" s="151" t="s">
        <v>1479</v>
      </c>
      <c r="B24" s="81" t="s">
        <v>1480</v>
      </c>
      <c r="C24" s="6">
        <v>21</v>
      </c>
      <c r="D24" s="10" t="s">
        <v>1481</v>
      </c>
      <c r="E24" s="169" t="s">
        <v>1425</v>
      </c>
      <c r="F24" s="6">
        <v>600</v>
      </c>
      <c r="G24" s="29">
        <v>176</v>
      </c>
      <c r="H24" s="100">
        <f t="shared" si="0"/>
        <v>105600</v>
      </c>
    </row>
    <row r="25" spans="1:8">
      <c r="A25" s="151" t="s">
        <v>1482</v>
      </c>
      <c r="B25" s="81" t="s">
        <v>1483</v>
      </c>
      <c r="C25" s="6">
        <v>22</v>
      </c>
      <c r="D25" s="10" t="s">
        <v>1484</v>
      </c>
      <c r="E25" s="169" t="s">
        <v>1425</v>
      </c>
      <c r="F25" s="6">
        <v>21</v>
      </c>
      <c r="G25" s="29">
        <v>891</v>
      </c>
      <c r="H25" s="100">
        <f t="shared" si="0"/>
        <v>18711</v>
      </c>
    </row>
    <row r="26" spans="1:8">
      <c r="A26" s="82" t="s">
        <v>1485</v>
      </c>
      <c r="B26" s="81" t="s">
        <v>1486</v>
      </c>
      <c r="C26" s="6">
        <v>23</v>
      </c>
      <c r="D26" s="10" t="s">
        <v>1487</v>
      </c>
      <c r="E26" s="169" t="s">
        <v>1425</v>
      </c>
      <c r="F26" s="6">
        <v>186</v>
      </c>
      <c r="G26" s="29">
        <v>160</v>
      </c>
      <c r="H26" s="100">
        <f t="shared" si="0"/>
        <v>29760</v>
      </c>
    </row>
    <row r="27" spans="1:8">
      <c r="A27" s="82" t="s">
        <v>1488</v>
      </c>
      <c r="B27" s="81" t="s">
        <v>1489</v>
      </c>
      <c r="C27" s="6">
        <v>24</v>
      </c>
      <c r="D27" s="10" t="s">
        <v>1490</v>
      </c>
      <c r="E27" s="169" t="s">
        <v>1425</v>
      </c>
      <c r="F27" s="6">
        <v>0</v>
      </c>
      <c r="G27" s="29">
        <v>200</v>
      </c>
      <c r="H27" s="100">
        <f t="shared" si="0"/>
        <v>0</v>
      </c>
    </row>
    <row r="28" spans="1:8">
      <c r="A28" s="82" t="s">
        <v>1491</v>
      </c>
      <c r="B28" s="81" t="s">
        <v>1492</v>
      </c>
      <c r="C28" s="6">
        <v>25</v>
      </c>
      <c r="D28" s="10" t="s">
        <v>1493</v>
      </c>
      <c r="E28" s="169" t="s">
        <v>1425</v>
      </c>
      <c r="F28" s="6">
        <v>0</v>
      </c>
      <c r="G28" s="29">
        <v>110</v>
      </c>
      <c r="H28" s="100">
        <f t="shared" si="0"/>
        <v>0</v>
      </c>
    </row>
    <row r="29" spans="1:8">
      <c r="A29" s="82" t="s">
        <v>1494</v>
      </c>
      <c r="B29" s="81" t="s">
        <v>1495</v>
      </c>
      <c r="C29" s="6">
        <v>26</v>
      </c>
      <c r="D29" s="10" t="s">
        <v>1496</v>
      </c>
      <c r="E29" s="169" t="s">
        <v>1425</v>
      </c>
      <c r="F29" s="6">
        <v>0</v>
      </c>
      <c r="G29" s="29">
        <v>181.5</v>
      </c>
      <c r="H29" s="100">
        <f t="shared" si="0"/>
        <v>0</v>
      </c>
    </row>
    <row r="30" spans="1:8">
      <c r="A30" s="82"/>
      <c r="B30" s="81" t="s">
        <v>1497</v>
      </c>
      <c r="C30" s="6">
        <v>27</v>
      </c>
      <c r="D30" s="10" t="s">
        <v>1498</v>
      </c>
      <c r="E30" s="169" t="s">
        <v>1425</v>
      </c>
      <c r="F30" s="6">
        <v>20</v>
      </c>
      <c r="G30" s="29">
        <v>40</v>
      </c>
      <c r="H30" s="100">
        <f t="shared" si="0"/>
        <v>800</v>
      </c>
    </row>
    <row r="31" spans="1:8">
      <c r="A31" s="82"/>
      <c r="B31" s="81" t="s">
        <v>1499</v>
      </c>
      <c r="C31" s="6">
        <v>28</v>
      </c>
      <c r="D31" s="10" t="s">
        <v>1500</v>
      </c>
      <c r="E31" s="169" t="s">
        <v>1425</v>
      </c>
      <c r="F31" s="6">
        <v>0</v>
      </c>
      <c r="G31" s="29">
        <v>0</v>
      </c>
      <c r="H31" s="100">
        <f t="shared" si="0"/>
        <v>0</v>
      </c>
    </row>
    <row r="32" spans="1:8">
      <c r="A32" s="82"/>
      <c r="B32" s="81" t="s">
        <v>1501</v>
      </c>
      <c r="C32" s="6">
        <v>29</v>
      </c>
      <c r="D32" s="10" t="s">
        <v>1502</v>
      </c>
      <c r="E32" s="169" t="s">
        <v>1425</v>
      </c>
      <c r="F32" s="6">
        <v>0</v>
      </c>
      <c r="G32" s="29">
        <v>236.5</v>
      </c>
      <c r="H32" s="100">
        <f t="shared" si="0"/>
        <v>0</v>
      </c>
    </row>
    <row r="33" spans="1:11">
      <c r="A33" s="82"/>
      <c r="B33" s="81" t="s">
        <v>1503</v>
      </c>
      <c r="C33" s="6">
        <v>30</v>
      </c>
      <c r="D33" s="10" t="s">
        <v>1504</v>
      </c>
      <c r="E33" s="169" t="s">
        <v>1425</v>
      </c>
      <c r="F33" s="6">
        <v>0</v>
      </c>
      <c r="G33" s="29">
        <v>0</v>
      </c>
      <c r="H33" s="100">
        <f t="shared" si="0"/>
        <v>0</v>
      </c>
    </row>
    <row r="34" spans="1:11">
      <c r="A34" s="82"/>
      <c r="B34" s="81" t="s">
        <v>1505</v>
      </c>
      <c r="C34" s="6">
        <v>31</v>
      </c>
      <c r="D34" s="10" t="s">
        <v>1506</v>
      </c>
      <c r="E34" s="169" t="s">
        <v>1425</v>
      </c>
      <c r="F34" s="6">
        <v>0</v>
      </c>
      <c r="G34" s="29">
        <v>0</v>
      </c>
      <c r="H34" s="100">
        <f t="shared" si="0"/>
        <v>0</v>
      </c>
    </row>
    <row r="35" spans="1:11">
      <c r="A35" s="82"/>
      <c r="B35" s="81" t="s">
        <v>1507</v>
      </c>
      <c r="C35" s="6">
        <v>32</v>
      </c>
      <c r="D35" s="10" t="s">
        <v>1508</v>
      </c>
      <c r="E35" s="169" t="s">
        <v>1425</v>
      </c>
      <c r="F35" s="6">
        <v>0</v>
      </c>
      <c r="G35" s="29">
        <v>130</v>
      </c>
      <c r="H35" s="100">
        <f t="shared" si="0"/>
        <v>0</v>
      </c>
    </row>
    <row r="36" spans="1:11">
      <c r="A36" s="82"/>
      <c r="B36" s="81" t="s">
        <v>1509</v>
      </c>
      <c r="C36" s="6">
        <v>33</v>
      </c>
      <c r="D36" s="10" t="s">
        <v>1510</v>
      </c>
      <c r="E36" s="169" t="s">
        <v>1425</v>
      </c>
      <c r="F36" s="6">
        <v>0</v>
      </c>
      <c r="G36" s="29">
        <v>0</v>
      </c>
      <c r="H36" s="100">
        <f t="shared" si="0"/>
        <v>0</v>
      </c>
    </row>
    <row r="37" spans="1:11">
      <c r="A37" s="82"/>
      <c r="B37" s="81" t="s">
        <v>1511</v>
      </c>
      <c r="C37" s="6">
        <v>34</v>
      </c>
      <c r="D37" s="10" t="s">
        <v>1512</v>
      </c>
      <c r="E37" s="169" t="s">
        <v>1425</v>
      </c>
      <c r="F37" s="6">
        <v>0</v>
      </c>
      <c r="G37" s="29">
        <v>0</v>
      </c>
      <c r="H37" s="100">
        <f t="shared" si="0"/>
        <v>0</v>
      </c>
    </row>
    <row r="38" spans="1:11">
      <c r="A38" s="82"/>
      <c r="B38" s="81" t="s">
        <v>1513</v>
      </c>
      <c r="C38" s="6">
        <v>35</v>
      </c>
      <c r="D38" s="10" t="s">
        <v>1514</v>
      </c>
      <c r="E38" s="169" t="s">
        <v>1425</v>
      </c>
      <c r="F38" s="6">
        <v>0</v>
      </c>
      <c r="G38" s="29">
        <v>7</v>
      </c>
      <c r="H38" s="100">
        <f t="shared" si="0"/>
        <v>0</v>
      </c>
    </row>
    <row r="39" spans="1:11">
      <c r="A39" s="82"/>
      <c r="B39" s="81" t="s">
        <v>1515</v>
      </c>
      <c r="C39" s="6">
        <v>36</v>
      </c>
      <c r="D39" s="10" t="s">
        <v>1516</v>
      </c>
      <c r="E39" s="169" t="s">
        <v>1425</v>
      </c>
      <c r="F39" s="6">
        <v>0</v>
      </c>
      <c r="G39" s="29">
        <v>0</v>
      </c>
      <c r="H39" s="100">
        <f t="shared" si="0"/>
        <v>0</v>
      </c>
    </row>
    <row r="40" spans="1:11">
      <c r="A40" s="82"/>
      <c r="B40" s="81" t="s">
        <v>1393</v>
      </c>
      <c r="C40" s="6">
        <v>37</v>
      </c>
      <c r="D40" s="10" t="s">
        <v>1517</v>
      </c>
      <c r="E40" s="169" t="s">
        <v>1425</v>
      </c>
      <c r="F40" s="6">
        <v>1180</v>
      </c>
      <c r="G40" s="29">
        <v>180</v>
      </c>
      <c r="H40" s="100">
        <f t="shared" si="0"/>
        <v>212400</v>
      </c>
    </row>
    <row r="41" spans="1:11">
      <c r="A41" s="82"/>
      <c r="B41" s="81" t="s">
        <v>1518</v>
      </c>
      <c r="C41" s="6">
        <v>38</v>
      </c>
      <c r="D41" s="10" t="s">
        <v>1519</v>
      </c>
      <c r="E41" s="169" t="s">
        <v>1425</v>
      </c>
      <c r="F41" s="6">
        <v>0</v>
      </c>
      <c r="G41" s="29">
        <v>0</v>
      </c>
      <c r="H41" s="100">
        <f t="shared" si="0"/>
        <v>0</v>
      </c>
    </row>
    <row r="42" spans="1:11" ht="15.75" thickBot="1">
      <c r="A42" s="82"/>
      <c r="B42" s="81" t="s">
        <v>1520</v>
      </c>
      <c r="C42" s="6">
        <v>39</v>
      </c>
      <c r="D42" s="10" t="s">
        <v>1521</v>
      </c>
      <c r="E42" s="169" t="s">
        <v>1425</v>
      </c>
      <c r="F42" s="6">
        <v>0</v>
      </c>
      <c r="G42" s="29">
        <v>0</v>
      </c>
      <c r="H42" s="251">
        <f t="shared" si="0"/>
        <v>0</v>
      </c>
    </row>
    <row r="43" spans="1:11" ht="15.75" thickBot="1">
      <c r="A43" s="82"/>
      <c r="B43" s="167" t="s">
        <v>2054</v>
      </c>
      <c r="C43" s="6">
        <v>40</v>
      </c>
      <c r="D43" s="10" t="s">
        <v>2055</v>
      </c>
      <c r="E43" s="294" t="s">
        <v>1425</v>
      </c>
      <c r="F43" s="6">
        <v>0</v>
      </c>
      <c r="G43" s="29">
        <v>0</v>
      </c>
      <c r="H43" s="251">
        <f t="shared" ref="H43:H48" si="1">G43*F43</f>
        <v>0</v>
      </c>
    </row>
    <row r="44" spans="1:11" ht="15.75" thickBot="1">
      <c r="A44" s="82"/>
      <c r="B44" s="81" t="s">
        <v>2056</v>
      </c>
      <c r="C44" s="6">
        <v>41</v>
      </c>
      <c r="D44" s="182" t="s">
        <v>2057</v>
      </c>
      <c r="E44" s="169" t="s">
        <v>1425</v>
      </c>
      <c r="F44" s="6">
        <v>0</v>
      </c>
      <c r="G44" s="29">
        <v>0</v>
      </c>
      <c r="H44" s="251">
        <f t="shared" si="1"/>
        <v>0</v>
      </c>
      <c r="K44" s="87"/>
    </row>
    <row r="45" spans="1:11" ht="15.75" thickBot="1">
      <c r="A45" s="82"/>
      <c r="B45" s="81" t="s">
        <v>2058</v>
      </c>
      <c r="C45" s="6">
        <v>42</v>
      </c>
      <c r="D45" s="10" t="s">
        <v>2059</v>
      </c>
      <c r="E45" s="169" t="s">
        <v>1425</v>
      </c>
      <c r="F45" s="6">
        <v>0</v>
      </c>
      <c r="G45" s="29">
        <v>0</v>
      </c>
      <c r="H45" s="251">
        <f t="shared" si="1"/>
        <v>0</v>
      </c>
      <c r="K45" s="87"/>
    </row>
    <row r="46" spans="1:11" ht="15.75" thickBot="1">
      <c r="A46" s="82"/>
      <c r="B46" s="81" t="s">
        <v>2060</v>
      </c>
      <c r="C46" s="6">
        <v>43</v>
      </c>
      <c r="D46" s="10" t="s">
        <v>2061</v>
      </c>
      <c r="E46" s="169" t="s">
        <v>1425</v>
      </c>
      <c r="F46" s="6">
        <v>0</v>
      </c>
      <c r="G46" s="29">
        <v>0</v>
      </c>
      <c r="H46" s="251">
        <f t="shared" si="1"/>
        <v>0</v>
      </c>
      <c r="K46" s="87"/>
    </row>
    <row r="47" spans="1:11" ht="15.75" thickBot="1">
      <c r="A47" s="82"/>
      <c r="B47" s="81" t="s">
        <v>2062</v>
      </c>
      <c r="C47" s="6">
        <v>44</v>
      </c>
      <c r="D47" s="10" t="s">
        <v>2063</v>
      </c>
      <c r="E47" s="169" t="s">
        <v>1425</v>
      </c>
      <c r="F47" s="6">
        <v>0</v>
      </c>
      <c r="G47" s="29">
        <v>0</v>
      </c>
      <c r="H47" s="251">
        <f t="shared" si="1"/>
        <v>0</v>
      </c>
      <c r="K47" s="87"/>
    </row>
    <row r="48" spans="1:11" ht="15.75" thickBot="1">
      <c r="A48" s="82"/>
      <c r="B48" s="81" t="s">
        <v>2064</v>
      </c>
      <c r="C48" s="159">
        <v>45</v>
      </c>
      <c r="D48" s="168" t="s">
        <v>2065</v>
      </c>
      <c r="E48" s="169" t="s">
        <v>1425</v>
      </c>
      <c r="F48" s="295">
        <v>0</v>
      </c>
      <c r="G48" s="293">
        <v>0</v>
      </c>
      <c r="H48" s="251">
        <f t="shared" si="1"/>
        <v>0</v>
      </c>
      <c r="K48" s="87"/>
    </row>
    <row r="49" spans="6:8" ht="15.75" thickBot="1">
      <c r="F49" s="45"/>
      <c r="G49" s="157" t="s">
        <v>146</v>
      </c>
      <c r="H49" s="154">
        <f>SUM(H4:H42)</f>
        <v>582903.5</v>
      </c>
    </row>
    <row r="50" spans="6:8">
      <c r="G50"/>
    </row>
    <row r="51" spans="6:8">
      <c r="G51"/>
    </row>
    <row r="52" spans="6:8">
      <c r="G52"/>
    </row>
    <row r="53" spans="6:8">
      <c r="G53"/>
    </row>
    <row r="54" spans="6:8">
      <c r="G54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B2:E22"/>
  <sheetViews>
    <sheetView workbookViewId="0">
      <selection activeCell="E3" sqref="E3"/>
    </sheetView>
  </sheetViews>
  <sheetFormatPr defaultRowHeight="15"/>
  <cols>
    <col min="2" max="2" width="9.140625" style="87" customWidth="1"/>
    <col min="3" max="3" width="16.140625" bestFit="1" customWidth="1"/>
    <col min="4" max="4" width="15.28515625" style="141" customWidth="1"/>
    <col min="5" max="5" width="9.140625" style="140"/>
  </cols>
  <sheetData>
    <row r="2" spans="2:5" ht="15.75" thickBot="1"/>
    <row r="3" spans="2:5" ht="15.75" thickBot="1">
      <c r="B3" s="325" t="s">
        <v>635</v>
      </c>
      <c r="C3" s="326"/>
      <c r="D3" s="327"/>
    </row>
    <row r="5" spans="2:5">
      <c r="B5" s="106" t="s">
        <v>348</v>
      </c>
      <c r="C5" s="84" t="s">
        <v>2</v>
      </c>
      <c r="D5" s="222" t="s">
        <v>136</v>
      </c>
    </row>
    <row r="6" spans="2:5">
      <c r="B6" s="9">
        <v>1</v>
      </c>
      <c r="C6" s="15" t="s">
        <v>87</v>
      </c>
      <c r="D6" s="174">
        <f>PCB!K94</f>
        <v>3147598.83</v>
      </c>
      <c r="E6" s="140" t="e">
        <f>+D6/$D$22</f>
        <v>#REF!</v>
      </c>
    </row>
    <row r="7" spans="2:5">
      <c r="B7" s="9">
        <v>2</v>
      </c>
      <c r="C7" s="15" t="s">
        <v>36</v>
      </c>
      <c r="D7" s="174">
        <f>DIODE!K27</f>
        <v>157386.90000000002</v>
      </c>
      <c r="E7" s="140" t="e">
        <f t="shared" ref="E7:E21" si="0">+D7/$D$22</f>
        <v>#REF!</v>
      </c>
    </row>
    <row r="8" spans="2:5">
      <c r="B8" s="9">
        <v>3</v>
      </c>
      <c r="C8" s="15" t="s">
        <v>1288</v>
      </c>
      <c r="D8" s="174">
        <f>RESISTOR!N203</f>
        <v>117692.79</v>
      </c>
      <c r="E8" s="140" t="e">
        <f t="shared" si="0"/>
        <v>#REF!</v>
      </c>
    </row>
    <row r="9" spans="2:5">
      <c r="B9" s="9">
        <v>4</v>
      </c>
      <c r="C9" s="15" t="s">
        <v>1287</v>
      </c>
      <c r="D9" s="174">
        <f>CONNECTOR!K15</f>
        <v>57250</v>
      </c>
      <c r="E9" s="140" t="e">
        <f t="shared" si="0"/>
        <v>#REF!</v>
      </c>
    </row>
    <row r="10" spans="2:5">
      <c r="B10" s="9">
        <v>5</v>
      </c>
      <c r="C10" s="15" t="s">
        <v>61</v>
      </c>
      <c r="D10" s="174">
        <f>LEDS!K30</f>
        <v>997867.70000000007</v>
      </c>
      <c r="E10" s="140" t="e">
        <f t="shared" si="0"/>
        <v>#REF!</v>
      </c>
    </row>
    <row r="11" spans="2:5">
      <c r="B11" s="9">
        <v>6</v>
      </c>
      <c r="C11" s="15" t="s">
        <v>31</v>
      </c>
      <c r="D11" s="174">
        <f>CAPACITOR!K101</f>
        <v>373427.95</v>
      </c>
      <c r="E11" s="140" t="e">
        <f t="shared" si="0"/>
        <v>#REF!</v>
      </c>
    </row>
    <row r="12" spans="2:5">
      <c r="B12" s="9">
        <v>7</v>
      </c>
      <c r="C12" s="15" t="s">
        <v>632</v>
      </c>
      <c r="D12" s="174">
        <f>HEATSINK!K11</f>
        <v>210</v>
      </c>
      <c r="E12" s="140" t="e">
        <f t="shared" si="0"/>
        <v>#REF!</v>
      </c>
    </row>
    <row r="13" spans="2:5">
      <c r="B13" s="9">
        <v>8</v>
      </c>
      <c r="C13" s="15" t="s">
        <v>56</v>
      </c>
      <c r="D13" s="174">
        <f>INDUCTOR!K36</f>
        <v>103494.59</v>
      </c>
      <c r="E13" s="140" t="e">
        <f t="shared" si="0"/>
        <v>#REF!</v>
      </c>
    </row>
    <row r="14" spans="2:5">
      <c r="B14" s="9">
        <v>9</v>
      </c>
      <c r="C14" s="15" t="s">
        <v>82</v>
      </c>
      <c r="D14" s="174">
        <f>MOSFET!K17</f>
        <v>896288.5</v>
      </c>
      <c r="E14" s="140" t="e">
        <f t="shared" si="0"/>
        <v>#REF!</v>
      </c>
    </row>
    <row r="15" spans="2:5">
      <c r="B15" s="9">
        <v>10</v>
      </c>
      <c r="C15" s="15" t="s">
        <v>1522</v>
      </c>
      <c r="D15" s="174">
        <f>DRIVER!L87</f>
        <v>986265</v>
      </c>
      <c r="E15" s="140" t="e">
        <f>+D15/$D$22</f>
        <v>#REF!</v>
      </c>
    </row>
    <row r="16" spans="2:5">
      <c r="B16" s="9">
        <v>11</v>
      </c>
      <c r="C16" s="15" t="s">
        <v>1523</v>
      </c>
      <c r="D16" s="174">
        <f>FG!K39</f>
        <v>5066585</v>
      </c>
      <c r="E16" s="140" t="e">
        <f t="shared" si="0"/>
        <v>#REF!</v>
      </c>
    </row>
    <row r="17" spans="2:5">
      <c r="B17" s="9">
        <v>12</v>
      </c>
      <c r="C17" s="15" t="s">
        <v>85</v>
      </c>
      <c r="D17" s="174">
        <f>MOV!K17</f>
        <v>127426.9</v>
      </c>
      <c r="E17" s="140" t="e">
        <f t="shared" si="0"/>
        <v>#REF!</v>
      </c>
    </row>
    <row r="18" spans="2:5">
      <c r="B18" s="9">
        <v>13</v>
      </c>
      <c r="C18" s="15" t="s">
        <v>633</v>
      </c>
      <c r="D18" s="174">
        <f>WIRE!K12</f>
        <v>20150</v>
      </c>
      <c r="E18" s="140" t="e">
        <f t="shared" si="0"/>
        <v>#REF!</v>
      </c>
    </row>
    <row r="19" spans="2:5">
      <c r="B19" s="9">
        <v>14</v>
      </c>
      <c r="C19" s="15" t="s">
        <v>634</v>
      </c>
      <c r="D19" s="174" t="e">
        <f>ASSACERIES!#REF!</f>
        <v>#REF!</v>
      </c>
      <c r="E19" s="140" t="e">
        <f t="shared" si="0"/>
        <v>#REF!</v>
      </c>
    </row>
    <row r="20" spans="2:5">
      <c r="B20" s="9">
        <v>15</v>
      </c>
      <c r="C20" s="15" t="s">
        <v>47</v>
      </c>
      <c r="D20" s="174">
        <f>IC!K26</f>
        <v>732635.5</v>
      </c>
      <c r="E20" s="140" t="e">
        <f t="shared" si="0"/>
        <v>#REF!</v>
      </c>
    </row>
    <row r="21" spans="2:5">
      <c r="B21" s="9">
        <v>16</v>
      </c>
      <c r="C21" s="15" t="s">
        <v>1303</v>
      </c>
      <c r="D21" s="174">
        <f>ENCLOSURES!H49</f>
        <v>582903.5</v>
      </c>
      <c r="E21" s="140" t="e">
        <f t="shared" si="0"/>
        <v>#REF!</v>
      </c>
    </row>
    <row r="22" spans="2:5" ht="15.75" thickBot="1">
      <c r="B22" s="225"/>
      <c r="C22" s="223" t="s">
        <v>146</v>
      </c>
      <c r="D22" s="224" t="e">
        <f>SUM(D6:D21)</f>
        <v>#REF!</v>
      </c>
    </row>
  </sheetData>
  <mergeCells count="1">
    <mergeCell ref="B3:D3"/>
  </mergeCells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B2:D120"/>
  <sheetViews>
    <sheetView workbookViewId="0">
      <selection activeCell="B9" sqref="B9"/>
    </sheetView>
  </sheetViews>
  <sheetFormatPr defaultRowHeight="15"/>
  <cols>
    <col min="2" max="2" width="6.140625" bestFit="1" customWidth="1"/>
    <col min="3" max="3" width="13.5703125" bestFit="1" customWidth="1"/>
    <col min="4" max="4" width="43" bestFit="1" customWidth="1"/>
  </cols>
  <sheetData>
    <row r="2" spans="2:4" ht="15.75" thickBot="1"/>
    <row r="3" spans="2:4" ht="15.75" thickBot="1">
      <c r="B3" s="64" t="s">
        <v>348</v>
      </c>
      <c r="C3" s="65" t="s">
        <v>637</v>
      </c>
      <c r="D3" s="66" t="s">
        <v>638</v>
      </c>
    </row>
    <row r="4" spans="2:4">
      <c r="B4" s="28">
        <v>1</v>
      </c>
      <c r="C4" s="25" t="s">
        <v>639</v>
      </c>
      <c r="D4" s="67" t="s">
        <v>640</v>
      </c>
    </row>
    <row r="5" spans="2:4">
      <c r="B5" s="26">
        <v>2</v>
      </c>
      <c r="C5" s="15" t="s">
        <v>641</v>
      </c>
      <c r="D5" s="68" t="s">
        <v>642</v>
      </c>
    </row>
    <row r="6" spans="2:4">
      <c r="B6" s="26">
        <v>3</v>
      </c>
      <c r="C6" s="15" t="s">
        <v>643</v>
      </c>
      <c r="D6" s="69" t="s">
        <v>644</v>
      </c>
    </row>
    <row r="7" spans="2:4">
      <c r="B7" s="26">
        <v>4</v>
      </c>
      <c r="C7" s="15" t="s">
        <v>645</v>
      </c>
      <c r="D7" s="69" t="s">
        <v>646</v>
      </c>
    </row>
    <row r="8" spans="2:4">
      <c r="B8" s="26">
        <v>5</v>
      </c>
      <c r="C8" s="15" t="s">
        <v>647</v>
      </c>
      <c r="D8" s="70" t="s">
        <v>648</v>
      </c>
    </row>
    <row r="9" spans="2:4">
      <c r="B9" s="26">
        <v>6</v>
      </c>
      <c r="C9" s="15" t="s">
        <v>649</v>
      </c>
      <c r="D9" s="69" t="s">
        <v>650</v>
      </c>
    </row>
    <row r="10" spans="2:4">
      <c r="B10" s="26">
        <v>7</v>
      </c>
      <c r="C10" s="15" t="s">
        <v>651</v>
      </c>
      <c r="D10" s="69" t="s">
        <v>652</v>
      </c>
    </row>
    <row r="11" spans="2:4">
      <c r="B11" s="26">
        <v>8</v>
      </c>
      <c r="C11" s="15" t="s">
        <v>653</v>
      </c>
      <c r="D11" s="69" t="s">
        <v>654</v>
      </c>
    </row>
    <row r="12" spans="2:4">
      <c r="B12" s="26">
        <v>9</v>
      </c>
      <c r="C12" s="15" t="s">
        <v>655</v>
      </c>
      <c r="D12" s="71" t="s">
        <v>656</v>
      </c>
    </row>
    <row r="13" spans="2:4">
      <c r="B13" s="26">
        <v>10</v>
      </c>
      <c r="C13" s="15" t="s">
        <v>657</v>
      </c>
      <c r="D13" s="68" t="s">
        <v>658</v>
      </c>
    </row>
    <row r="14" spans="2:4">
      <c r="B14" s="26">
        <v>11</v>
      </c>
      <c r="C14" s="15" t="s">
        <v>659</v>
      </c>
      <c r="D14" s="68" t="s">
        <v>660</v>
      </c>
    </row>
    <row r="15" spans="2:4">
      <c r="B15" s="26">
        <v>12</v>
      </c>
      <c r="C15" s="15" t="s">
        <v>661</v>
      </c>
      <c r="D15" s="71" t="s">
        <v>662</v>
      </c>
    </row>
    <row r="16" spans="2:4">
      <c r="B16" s="26">
        <v>13</v>
      </c>
      <c r="C16" s="15" t="s">
        <v>663</v>
      </c>
      <c r="D16" s="69" t="s">
        <v>664</v>
      </c>
    </row>
    <row r="17" spans="2:4">
      <c r="B17" s="26">
        <v>14</v>
      </c>
      <c r="C17" s="15" t="s">
        <v>665</v>
      </c>
      <c r="D17" s="69" t="s">
        <v>666</v>
      </c>
    </row>
    <row r="18" spans="2:4">
      <c r="B18" s="26">
        <v>15</v>
      </c>
      <c r="C18" s="15" t="s">
        <v>667</v>
      </c>
      <c r="D18" s="71" t="s">
        <v>668</v>
      </c>
    </row>
    <row r="19" spans="2:4">
      <c r="B19" s="26">
        <v>16</v>
      </c>
      <c r="C19" s="15" t="s">
        <v>669</v>
      </c>
      <c r="D19" s="69" t="s">
        <v>670</v>
      </c>
    </row>
    <row r="20" spans="2:4">
      <c r="B20" s="26">
        <v>17</v>
      </c>
      <c r="C20" s="15" t="s">
        <v>671</v>
      </c>
      <c r="D20" s="69" t="s">
        <v>672</v>
      </c>
    </row>
    <row r="21" spans="2:4">
      <c r="B21" s="26">
        <v>18</v>
      </c>
      <c r="C21" s="15" t="s">
        <v>673</v>
      </c>
      <c r="D21" s="72" t="s">
        <v>674</v>
      </c>
    </row>
    <row r="22" spans="2:4">
      <c r="B22" s="26">
        <v>19</v>
      </c>
      <c r="C22" s="15" t="s">
        <v>675</v>
      </c>
      <c r="D22" s="71" t="s">
        <v>676</v>
      </c>
    </row>
    <row r="23" spans="2:4">
      <c r="B23" s="26">
        <v>20</v>
      </c>
      <c r="C23" s="15" t="s">
        <v>677</v>
      </c>
      <c r="D23" s="69" t="s">
        <v>678</v>
      </c>
    </row>
    <row r="24" spans="2:4">
      <c r="B24" s="26">
        <v>21</v>
      </c>
      <c r="C24" s="15" t="s">
        <v>679</v>
      </c>
      <c r="D24" s="69" t="s">
        <v>680</v>
      </c>
    </row>
    <row r="25" spans="2:4">
      <c r="B25" s="26">
        <v>22</v>
      </c>
      <c r="C25" s="15" t="s">
        <v>681</v>
      </c>
      <c r="D25" s="70" t="s">
        <v>682</v>
      </c>
    </row>
    <row r="26" spans="2:4">
      <c r="B26" s="26">
        <v>23</v>
      </c>
      <c r="C26" s="15" t="s">
        <v>683</v>
      </c>
      <c r="D26" s="71" t="s">
        <v>684</v>
      </c>
    </row>
    <row r="27" spans="2:4">
      <c r="B27" s="26">
        <v>24</v>
      </c>
      <c r="C27" s="15" t="s">
        <v>685</v>
      </c>
      <c r="D27" s="69" t="s">
        <v>686</v>
      </c>
    </row>
    <row r="28" spans="2:4">
      <c r="B28" s="26">
        <v>25</v>
      </c>
      <c r="C28" s="15" t="s">
        <v>687</v>
      </c>
      <c r="D28" s="69" t="s">
        <v>688</v>
      </c>
    </row>
    <row r="29" spans="2:4">
      <c r="B29" s="26">
        <v>26</v>
      </c>
      <c r="C29" s="15" t="s">
        <v>689</v>
      </c>
      <c r="D29" s="69" t="s">
        <v>690</v>
      </c>
    </row>
    <row r="30" spans="2:4">
      <c r="B30" s="26">
        <v>27</v>
      </c>
      <c r="C30" s="15" t="s">
        <v>691</v>
      </c>
      <c r="D30" s="71" t="s">
        <v>692</v>
      </c>
    </row>
    <row r="31" spans="2:4">
      <c r="B31" s="26">
        <v>28</v>
      </c>
      <c r="C31" s="15" t="s">
        <v>693</v>
      </c>
      <c r="D31" s="69" t="s">
        <v>694</v>
      </c>
    </row>
    <row r="32" spans="2:4">
      <c r="B32" s="26">
        <v>29</v>
      </c>
      <c r="C32" s="15" t="s">
        <v>695</v>
      </c>
      <c r="D32" s="73" t="s">
        <v>696</v>
      </c>
    </row>
    <row r="33" spans="2:4">
      <c r="B33" s="26">
        <v>30</v>
      </c>
      <c r="C33" s="15" t="s">
        <v>697</v>
      </c>
      <c r="D33" s="68" t="s">
        <v>698</v>
      </c>
    </row>
    <row r="34" spans="2:4">
      <c r="B34" s="26">
        <v>31</v>
      </c>
      <c r="C34" s="15" t="s">
        <v>699</v>
      </c>
      <c r="D34" s="74" t="s">
        <v>1027</v>
      </c>
    </row>
    <row r="35" spans="2:4">
      <c r="B35" s="26">
        <v>32</v>
      </c>
      <c r="C35" s="15" t="s">
        <v>700</v>
      </c>
      <c r="D35" s="71" t="s">
        <v>701</v>
      </c>
    </row>
    <row r="36" spans="2:4">
      <c r="B36" s="26">
        <v>33</v>
      </c>
      <c r="C36" s="15" t="s">
        <v>702</v>
      </c>
      <c r="D36" s="69" t="s">
        <v>703</v>
      </c>
    </row>
    <row r="37" spans="2:4">
      <c r="B37" s="26">
        <v>34</v>
      </c>
      <c r="C37" s="15" t="s">
        <v>704</v>
      </c>
      <c r="D37" s="68" t="s">
        <v>705</v>
      </c>
    </row>
    <row r="38" spans="2:4">
      <c r="B38" s="26">
        <v>35</v>
      </c>
      <c r="C38" s="15" t="s">
        <v>706</v>
      </c>
      <c r="D38" s="68" t="s">
        <v>707</v>
      </c>
    </row>
    <row r="39" spans="2:4">
      <c r="B39" s="26">
        <v>36</v>
      </c>
      <c r="C39" s="15" t="s">
        <v>708</v>
      </c>
      <c r="D39" s="68" t="s">
        <v>709</v>
      </c>
    </row>
    <row r="40" spans="2:4">
      <c r="B40" s="26">
        <v>37</v>
      </c>
      <c r="C40" s="15" t="s">
        <v>710</v>
      </c>
      <c r="D40" s="69" t="s">
        <v>711</v>
      </c>
    </row>
    <row r="41" spans="2:4">
      <c r="B41" s="26">
        <v>38</v>
      </c>
      <c r="C41" s="15" t="s">
        <v>712</v>
      </c>
      <c r="D41" s="69" t="s">
        <v>713</v>
      </c>
    </row>
    <row r="42" spans="2:4">
      <c r="B42" s="26">
        <v>39</v>
      </c>
      <c r="C42" s="15" t="s">
        <v>714</v>
      </c>
      <c r="D42" s="75" t="s">
        <v>715</v>
      </c>
    </row>
    <row r="43" spans="2:4">
      <c r="B43" s="26">
        <v>40</v>
      </c>
      <c r="C43" s="15" t="s">
        <v>716</v>
      </c>
      <c r="D43" s="69" t="s">
        <v>717</v>
      </c>
    </row>
    <row r="44" spans="2:4">
      <c r="B44" s="26">
        <v>41</v>
      </c>
      <c r="C44" s="15" t="s">
        <v>718</v>
      </c>
      <c r="D44" s="68" t="s">
        <v>719</v>
      </c>
    </row>
    <row r="45" spans="2:4">
      <c r="B45" s="26">
        <v>42</v>
      </c>
      <c r="C45" s="15" t="s">
        <v>720</v>
      </c>
      <c r="D45" s="69" t="s">
        <v>721</v>
      </c>
    </row>
    <row r="46" spans="2:4">
      <c r="B46" s="26">
        <v>43</v>
      </c>
      <c r="C46" s="15" t="s">
        <v>722</v>
      </c>
      <c r="D46" s="69" t="s">
        <v>723</v>
      </c>
    </row>
    <row r="47" spans="2:4">
      <c r="B47" s="26">
        <v>44</v>
      </c>
      <c r="C47" s="15" t="s">
        <v>724</v>
      </c>
      <c r="D47" s="69" t="s">
        <v>725</v>
      </c>
    </row>
    <row r="48" spans="2:4">
      <c r="B48" s="26">
        <v>45</v>
      </c>
      <c r="C48" s="15" t="s">
        <v>726</v>
      </c>
      <c r="D48" s="68" t="s">
        <v>727</v>
      </c>
    </row>
    <row r="49" spans="2:4">
      <c r="B49" s="26">
        <v>46</v>
      </c>
      <c r="C49" s="15" t="s">
        <v>728</v>
      </c>
      <c r="D49" s="69" t="s">
        <v>729</v>
      </c>
    </row>
    <row r="50" spans="2:4">
      <c r="B50" s="26">
        <v>47</v>
      </c>
      <c r="C50" s="15" t="s">
        <v>730</v>
      </c>
      <c r="D50" s="71" t="s">
        <v>731</v>
      </c>
    </row>
    <row r="51" spans="2:4">
      <c r="B51" s="26">
        <v>48</v>
      </c>
      <c r="C51" s="15" t="s">
        <v>732</v>
      </c>
      <c r="D51" s="71" t="s">
        <v>733</v>
      </c>
    </row>
    <row r="52" spans="2:4">
      <c r="B52" s="26">
        <v>49</v>
      </c>
      <c r="C52" s="15" t="s">
        <v>734</v>
      </c>
      <c r="D52" s="68" t="s">
        <v>735</v>
      </c>
    </row>
    <row r="53" spans="2:4">
      <c r="B53" s="26">
        <v>50</v>
      </c>
      <c r="C53" s="15" t="s">
        <v>736</v>
      </c>
      <c r="D53" s="71" t="s">
        <v>737</v>
      </c>
    </row>
    <row r="54" spans="2:4">
      <c r="B54" s="26">
        <v>51</v>
      </c>
      <c r="C54" s="15" t="s">
        <v>738</v>
      </c>
      <c r="D54" s="69" t="s">
        <v>739</v>
      </c>
    </row>
    <row r="55" spans="2:4">
      <c r="B55" s="26">
        <v>52</v>
      </c>
      <c r="C55" s="15" t="s">
        <v>740</v>
      </c>
      <c r="D55" s="69" t="s">
        <v>741</v>
      </c>
    </row>
    <row r="56" spans="2:4">
      <c r="B56" s="26">
        <v>53</v>
      </c>
      <c r="C56" s="15" t="s">
        <v>742</v>
      </c>
      <c r="D56" s="69" t="s">
        <v>743</v>
      </c>
    </row>
    <row r="57" spans="2:4">
      <c r="B57" s="26">
        <v>54</v>
      </c>
      <c r="C57" s="15" t="s">
        <v>744</v>
      </c>
      <c r="D57" s="69" t="s">
        <v>745</v>
      </c>
    </row>
    <row r="58" spans="2:4">
      <c r="B58" s="26">
        <v>55</v>
      </c>
      <c r="C58" s="15" t="s">
        <v>746</v>
      </c>
      <c r="D58" s="68" t="s">
        <v>747</v>
      </c>
    </row>
    <row r="59" spans="2:4">
      <c r="B59" s="26">
        <v>56</v>
      </c>
      <c r="C59" s="15" t="s">
        <v>748</v>
      </c>
      <c r="D59" s="69" t="s">
        <v>749</v>
      </c>
    </row>
    <row r="60" spans="2:4">
      <c r="B60" s="26">
        <v>57</v>
      </c>
      <c r="C60" s="15" t="s">
        <v>750</v>
      </c>
      <c r="D60" s="68" t="s">
        <v>751</v>
      </c>
    </row>
    <row r="61" spans="2:4" s="103" customFormat="1" ht="31.5" customHeight="1">
      <c r="B61" s="101">
        <v>58</v>
      </c>
      <c r="C61" s="102" t="s">
        <v>752</v>
      </c>
      <c r="D61" s="76" t="s">
        <v>753</v>
      </c>
    </row>
    <row r="62" spans="2:4">
      <c r="B62" s="26">
        <v>59</v>
      </c>
      <c r="C62" s="15" t="s">
        <v>754</v>
      </c>
      <c r="D62" s="74" t="s">
        <v>755</v>
      </c>
    </row>
    <row r="63" spans="2:4">
      <c r="B63" s="26">
        <v>60</v>
      </c>
      <c r="C63" s="15" t="s">
        <v>756</v>
      </c>
      <c r="D63" s="69" t="s">
        <v>757</v>
      </c>
    </row>
    <row r="64" spans="2:4">
      <c r="B64" s="26">
        <v>61</v>
      </c>
      <c r="C64" s="15" t="s">
        <v>758</v>
      </c>
      <c r="D64" s="68" t="s">
        <v>759</v>
      </c>
    </row>
    <row r="65" spans="2:4">
      <c r="B65" s="26">
        <v>62</v>
      </c>
      <c r="C65" s="15" t="s">
        <v>760</v>
      </c>
      <c r="D65" s="69" t="s">
        <v>761</v>
      </c>
    </row>
    <row r="66" spans="2:4">
      <c r="B66" s="26">
        <v>63</v>
      </c>
      <c r="C66" s="15" t="s">
        <v>762</v>
      </c>
      <c r="D66" s="69" t="s">
        <v>763</v>
      </c>
    </row>
    <row r="67" spans="2:4">
      <c r="B67" s="26">
        <v>64</v>
      </c>
      <c r="C67" s="15" t="s">
        <v>764</v>
      </c>
      <c r="D67" s="69" t="s">
        <v>765</v>
      </c>
    </row>
    <row r="68" spans="2:4">
      <c r="B68" s="26">
        <v>65</v>
      </c>
      <c r="C68" s="15" t="s">
        <v>766</v>
      </c>
      <c r="D68" s="68" t="s">
        <v>767</v>
      </c>
    </row>
    <row r="69" spans="2:4">
      <c r="B69" s="26">
        <v>66</v>
      </c>
      <c r="C69" s="15" t="s">
        <v>768</v>
      </c>
      <c r="D69" s="68" t="s">
        <v>769</v>
      </c>
    </row>
    <row r="70" spans="2:4">
      <c r="B70" s="26">
        <v>67</v>
      </c>
      <c r="C70" s="15" t="s">
        <v>770</v>
      </c>
      <c r="D70" s="69" t="s">
        <v>771</v>
      </c>
    </row>
    <row r="71" spans="2:4">
      <c r="B71" s="26">
        <v>69</v>
      </c>
      <c r="C71" s="15" t="s">
        <v>772</v>
      </c>
      <c r="D71" s="69" t="s">
        <v>773</v>
      </c>
    </row>
    <row r="72" spans="2:4">
      <c r="B72" s="26">
        <v>70</v>
      </c>
      <c r="C72" s="15" t="s">
        <v>774</v>
      </c>
      <c r="D72" s="68" t="s">
        <v>775</v>
      </c>
    </row>
    <row r="73" spans="2:4">
      <c r="B73" s="26">
        <v>71</v>
      </c>
      <c r="C73" s="15" t="s">
        <v>776</v>
      </c>
      <c r="D73" s="69" t="s">
        <v>777</v>
      </c>
    </row>
    <row r="74" spans="2:4">
      <c r="B74" s="26">
        <v>72</v>
      </c>
      <c r="C74" s="15" t="s">
        <v>778</v>
      </c>
      <c r="D74" s="69" t="s">
        <v>779</v>
      </c>
    </row>
    <row r="75" spans="2:4">
      <c r="B75" s="26">
        <v>73</v>
      </c>
      <c r="C75" s="15" t="s">
        <v>780</v>
      </c>
      <c r="D75" s="68" t="s">
        <v>781</v>
      </c>
    </row>
    <row r="76" spans="2:4">
      <c r="B76" s="26">
        <v>74</v>
      </c>
      <c r="C76" s="15" t="s">
        <v>782</v>
      </c>
      <c r="D76" s="69" t="s">
        <v>783</v>
      </c>
    </row>
    <row r="77" spans="2:4">
      <c r="B77" s="26">
        <v>75</v>
      </c>
      <c r="C77" s="15" t="s">
        <v>784</v>
      </c>
      <c r="D77" s="69" t="s">
        <v>785</v>
      </c>
    </row>
    <row r="78" spans="2:4">
      <c r="B78" s="26">
        <v>76</v>
      </c>
      <c r="C78" s="15" t="s">
        <v>786</v>
      </c>
      <c r="D78" s="68" t="s">
        <v>787</v>
      </c>
    </row>
    <row r="79" spans="2:4">
      <c r="B79" s="26">
        <v>77</v>
      </c>
      <c r="C79" s="15" t="s">
        <v>788</v>
      </c>
      <c r="D79" s="69" t="s">
        <v>789</v>
      </c>
    </row>
    <row r="80" spans="2:4">
      <c r="B80" s="26">
        <v>78</v>
      </c>
      <c r="C80" s="15" t="s">
        <v>790</v>
      </c>
      <c r="D80" s="69" t="s">
        <v>791</v>
      </c>
    </row>
    <row r="81" spans="2:4">
      <c r="B81" s="26">
        <v>79</v>
      </c>
      <c r="C81" s="15" t="s">
        <v>792</v>
      </c>
      <c r="D81" s="68" t="s">
        <v>793</v>
      </c>
    </row>
    <row r="82" spans="2:4">
      <c r="B82" s="26">
        <v>80</v>
      </c>
      <c r="C82" s="15" t="s">
        <v>794</v>
      </c>
      <c r="D82" s="69" t="s">
        <v>795</v>
      </c>
    </row>
    <row r="83" spans="2:4">
      <c r="B83" s="26">
        <v>81</v>
      </c>
      <c r="C83" s="15" t="s">
        <v>796</v>
      </c>
      <c r="D83" s="77" t="s">
        <v>797</v>
      </c>
    </row>
    <row r="84" spans="2:4">
      <c r="B84" s="26">
        <v>82</v>
      </c>
      <c r="C84" s="15" t="s">
        <v>798</v>
      </c>
      <c r="D84" s="71" t="s">
        <v>799</v>
      </c>
    </row>
    <row r="85" spans="2:4">
      <c r="B85" s="26">
        <v>83</v>
      </c>
      <c r="C85" s="15" t="s">
        <v>800</v>
      </c>
      <c r="D85" s="71" t="s">
        <v>801</v>
      </c>
    </row>
    <row r="86" spans="2:4">
      <c r="B86" s="26">
        <v>84</v>
      </c>
      <c r="C86" s="15" t="s">
        <v>802</v>
      </c>
      <c r="D86" s="69" t="s">
        <v>803</v>
      </c>
    </row>
    <row r="87" spans="2:4">
      <c r="B87" s="26">
        <v>85</v>
      </c>
      <c r="C87" s="15" t="s">
        <v>804</v>
      </c>
      <c r="D87" s="68" t="s">
        <v>805</v>
      </c>
    </row>
    <row r="88" spans="2:4">
      <c r="B88" s="26">
        <v>86</v>
      </c>
      <c r="C88" s="15" t="s">
        <v>806</v>
      </c>
      <c r="D88" s="69" t="s">
        <v>807</v>
      </c>
    </row>
    <row r="89" spans="2:4">
      <c r="B89" s="26">
        <v>87</v>
      </c>
      <c r="C89" s="15" t="s">
        <v>808</v>
      </c>
      <c r="D89" s="69" t="s">
        <v>809</v>
      </c>
    </row>
    <row r="90" spans="2:4">
      <c r="B90" s="26">
        <v>88</v>
      </c>
      <c r="C90" s="15" t="s">
        <v>810</v>
      </c>
      <c r="D90" s="69" t="s">
        <v>811</v>
      </c>
    </row>
    <row r="91" spans="2:4">
      <c r="B91" s="26">
        <v>89</v>
      </c>
      <c r="C91" s="15" t="s">
        <v>812</v>
      </c>
      <c r="D91" s="69" t="s">
        <v>813</v>
      </c>
    </row>
    <row r="92" spans="2:4">
      <c r="B92" s="26">
        <v>90</v>
      </c>
      <c r="C92" s="15" t="s">
        <v>814</v>
      </c>
      <c r="D92" s="69" t="s">
        <v>815</v>
      </c>
    </row>
    <row r="93" spans="2:4">
      <c r="B93" s="26">
        <v>91</v>
      </c>
      <c r="C93" s="15" t="s">
        <v>816</v>
      </c>
      <c r="D93" s="69" t="s">
        <v>817</v>
      </c>
    </row>
    <row r="94" spans="2:4">
      <c r="B94" s="26">
        <v>92</v>
      </c>
      <c r="C94" s="15" t="s">
        <v>818</v>
      </c>
      <c r="D94" s="70" t="s">
        <v>819</v>
      </c>
    </row>
    <row r="95" spans="2:4">
      <c r="B95" s="26">
        <v>93</v>
      </c>
      <c r="C95" s="15" t="s">
        <v>820</v>
      </c>
      <c r="D95" s="68" t="s">
        <v>821</v>
      </c>
    </row>
    <row r="96" spans="2:4">
      <c r="B96" s="26">
        <v>94</v>
      </c>
      <c r="C96" s="15" t="s">
        <v>822</v>
      </c>
      <c r="D96" s="68" t="s">
        <v>823</v>
      </c>
    </row>
    <row r="97" spans="2:4">
      <c r="B97" s="26">
        <v>95</v>
      </c>
      <c r="C97" s="15" t="s">
        <v>824</v>
      </c>
      <c r="D97" s="69" t="s">
        <v>825</v>
      </c>
    </row>
    <row r="98" spans="2:4">
      <c r="B98" s="26">
        <v>96</v>
      </c>
      <c r="C98" s="15" t="s">
        <v>826</v>
      </c>
      <c r="D98" s="69" t="s">
        <v>827</v>
      </c>
    </row>
    <row r="99" spans="2:4">
      <c r="B99" s="26">
        <v>97</v>
      </c>
      <c r="C99" s="15" t="s">
        <v>828</v>
      </c>
      <c r="D99" s="69" t="s">
        <v>829</v>
      </c>
    </row>
    <row r="100" spans="2:4">
      <c r="B100" s="26">
        <v>98</v>
      </c>
      <c r="C100" s="15" t="s">
        <v>830</v>
      </c>
      <c r="D100" s="69" t="s">
        <v>831</v>
      </c>
    </row>
    <row r="101" spans="2:4">
      <c r="B101" s="26">
        <v>99</v>
      </c>
      <c r="C101" s="15" t="s">
        <v>832</v>
      </c>
      <c r="D101" s="68" t="s">
        <v>833</v>
      </c>
    </row>
    <row r="102" spans="2:4">
      <c r="B102" s="26">
        <v>100</v>
      </c>
      <c r="C102" s="15" t="s">
        <v>834</v>
      </c>
      <c r="D102" s="69" t="s">
        <v>835</v>
      </c>
    </row>
    <row r="103" spans="2:4">
      <c r="B103" s="26">
        <v>101</v>
      </c>
      <c r="C103" s="15" t="s">
        <v>836</v>
      </c>
      <c r="D103" s="68" t="s">
        <v>837</v>
      </c>
    </row>
    <row r="104" spans="2:4">
      <c r="B104" s="26">
        <v>102</v>
      </c>
      <c r="C104" s="15" t="s">
        <v>838</v>
      </c>
      <c r="D104" s="69" t="s">
        <v>839</v>
      </c>
    </row>
    <row r="105" spans="2:4">
      <c r="B105" s="26">
        <v>103</v>
      </c>
      <c r="C105" s="15" t="s">
        <v>840</v>
      </c>
      <c r="D105" s="69" t="s">
        <v>841</v>
      </c>
    </row>
    <row r="106" spans="2:4">
      <c r="B106" s="26">
        <v>104</v>
      </c>
      <c r="C106" s="15" t="s">
        <v>842</v>
      </c>
      <c r="D106" s="69" t="s">
        <v>843</v>
      </c>
    </row>
    <row r="107" spans="2:4">
      <c r="B107" s="26">
        <v>105</v>
      </c>
      <c r="C107" s="15" t="s">
        <v>844</v>
      </c>
      <c r="D107" s="68" t="s">
        <v>845</v>
      </c>
    </row>
    <row r="108" spans="2:4">
      <c r="B108" s="51">
        <v>106</v>
      </c>
      <c r="C108" s="15" t="s">
        <v>846</v>
      </c>
      <c r="D108" s="68" t="s">
        <v>847</v>
      </c>
    </row>
    <row r="109" spans="2:4">
      <c r="B109" s="51">
        <v>107</v>
      </c>
      <c r="C109" s="15" t="s">
        <v>848</v>
      </c>
      <c r="D109" s="71" t="s">
        <v>849</v>
      </c>
    </row>
    <row r="110" spans="2:4">
      <c r="B110" s="26">
        <v>108</v>
      </c>
      <c r="C110" s="78" t="s">
        <v>850</v>
      </c>
      <c r="D110" s="71" t="s">
        <v>851</v>
      </c>
    </row>
    <row r="111" spans="2:4">
      <c r="B111" s="51">
        <v>109</v>
      </c>
      <c r="C111" s="78" t="s">
        <v>852</v>
      </c>
      <c r="D111" s="55" t="s">
        <v>853</v>
      </c>
    </row>
    <row r="112" spans="2:4">
      <c r="B112" s="51">
        <v>110</v>
      </c>
      <c r="C112" s="78" t="s">
        <v>854</v>
      </c>
      <c r="D112" s="55" t="s">
        <v>855</v>
      </c>
    </row>
    <row r="113" spans="2:4">
      <c r="B113" s="26">
        <v>111</v>
      </c>
      <c r="C113" s="78" t="s">
        <v>856</v>
      </c>
      <c r="D113" s="55" t="s">
        <v>857</v>
      </c>
    </row>
    <row r="114" spans="2:4" ht="15.75" thickBot="1">
      <c r="B114" s="52">
        <v>112</v>
      </c>
      <c r="C114" s="79" t="s">
        <v>858</v>
      </c>
      <c r="D114" s="56" t="s">
        <v>859</v>
      </c>
    </row>
    <row r="115" spans="2:4" ht="15.75" thickBot="1">
      <c r="B115" s="91">
        <v>113</v>
      </c>
      <c r="C115" s="92" t="s">
        <v>885</v>
      </c>
      <c r="D115" s="93" t="s">
        <v>886</v>
      </c>
    </row>
    <row r="116" spans="2:4" ht="15.75" thickBot="1">
      <c r="B116" s="91">
        <v>114</v>
      </c>
      <c r="C116" s="92" t="s">
        <v>887</v>
      </c>
      <c r="D116" s="93" t="s">
        <v>888</v>
      </c>
    </row>
    <row r="117" spans="2:4" ht="15.75" thickBot="1">
      <c r="B117" s="91">
        <v>115</v>
      </c>
      <c r="C117" s="92" t="s">
        <v>889</v>
      </c>
      <c r="D117" s="93" t="s">
        <v>890</v>
      </c>
    </row>
    <row r="118" spans="2:4" ht="15.75" thickBot="1">
      <c r="B118" s="91">
        <v>116</v>
      </c>
      <c r="C118" s="92" t="s">
        <v>891</v>
      </c>
      <c r="D118" s="93" t="s">
        <v>892</v>
      </c>
    </row>
    <row r="119" spans="2:4" ht="15.75" thickBot="1">
      <c r="B119" s="91">
        <v>117</v>
      </c>
      <c r="C119" s="92" t="s">
        <v>893</v>
      </c>
      <c r="D119" s="93" t="s">
        <v>894</v>
      </c>
    </row>
    <row r="120" spans="2:4" ht="15.75" thickBot="1">
      <c r="B120" s="91">
        <v>118</v>
      </c>
      <c r="C120" s="92" t="s">
        <v>1025</v>
      </c>
      <c r="D120" s="93" t="s">
        <v>1026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DIODE</vt:lpstr>
      <vt:lpstr>LEDS</vt:lpstr>
      <vt:lpstr>PCB</vt:lpstr>
      <vt:lpstr>RESISTOR</vt:lpstr>
      <vt:lpstr>CONNECTOR</vt:lpstr>
      <vt:lpstr>CAPACITOR</vt:lpstr>
      <vt:lpstr>HEATSINK</vt:lpstr>
      <vt:lpstr>INDUCTOR</vt:lpstr>
      <vt:lpstr>MOSFET</vt:lpstr>
      <vt:lpstr>DRIVER</vt:lpstr>
      <vt:lpstr>FG</vt:lpstr>
      <vt:lpstr>MOV</vt:lpstr>
      <vt:lpstr>WIRE</vt:lpstr>
      <vt:lpstr>ASSACERIES</vt:lpstr>
      <vt:lpstr>IC</vt:lpstr>
      <vt:lpstr>ENCLOSURES</vt:lpstr>
      <vt:lpstr>TOTAL PRICE</vt:lpstr>
      <vt:lpstr>VENDER NAME&amp;CODE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2014-02-07T07:24:43Z</dcterms:modified>
</cp:coreProperties>
</file>